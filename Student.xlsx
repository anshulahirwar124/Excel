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FB757F99-0D2D-4D0F-BB3C-C50241ACEC68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ource Data" sheetId="1" r:id="rId1"/>
    <sheet name="Pivot Table" sheetId="2" r:id="rId2"/>
    <sheet name="Dashboard" sheetId="3" r:id="rId3"/>
  </sheets>
  <calcPr calcId="191028"/>
  <pivotCaches>
    <pivotCache cacheId="34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 s="1"/>
  <c r="L3" i="1" s="1"/>
  <c r="E4" i="1"/>
  <c r="F4" i="1"/>
  <c r="G4" i="1"/>
  <c r="H4" i="1"/>
  <c r="I4" i="1"/>
  <c r="J4" i="1"/>
  <c r="K4" i="1" s="1"/>
  <c r="L4" i="1" s="1"/>
  <c r="E5" i="1"/>
  <c r="F5" i="1"/>
  <c r="G5" i="1"/>
  <c r="H5" i="1"/>
  <c r="I5" i="1"/>
  <c r="J5" i="1"/>
  <c r="K5" i="1" s="1"/>
  <c r="L5" i="1" s="1"/>
  <c r="E6" i="1"/>
  <c r="F6" i="1"/>
  <c r="G6" i="1"/>
  <c r="H6" i="1"/>
  <c r="I6" i="1"/>
  <c r="J6" i="1"/>
  <c r="K6" i="1" s="1"/>
  <c r="L6" i="1" s="1"/>
  <c r="E7" i="1"/>
  <c r="F7" i="1"/>
  <c r="G7" i="1"/>
  <c r="H7" i="1"/>
  <c r="I7" i="1"/>
  <c r="J7" i="1"/>
  <c r="K7" i="1" s="1"/>
  <c r="L7" i="1" s="1"/>
  <c r="E8" i="1"/>
  <c r="F8" i="1"/>
  <c r="G8" i="1"/>
  <c r="H8" i="1"/>
  <c r="I8" i="1"/>
  <c r="J8" i="1"/>
  <c r="K8" i="1" s="1"/>
  <c r="L8" i="1" s="1"/>
  <c r="E9" i="1"/>
  <c r="F9" i="1"/>
  <c r="G9" i="1"/>
  <c r="H9" i="1"/>
  <c r="I9" i="1"/>
  <c r="J9" i="1"/>
  <c r="K9" i="1" s="1"/>
  <c r="L9" i="1" s="1"/>
  <c r="E10" i="1"/>
  <c r="F10" i="1"/>
  <c r="G10" i="1"/>
  <c r="H10" i="1"/>
  <c r="I10" i="1"/>
  <c r="J10" i="1"/>
  <c r="K10" i="1" s="1"/>
  <c r="L10" i="1" s="1"/>
  <c r="E11" i="1"/>
  <c r="F11" i="1"/>
  <c r="G11" i="1"/>
  <c r="H11" i="1"/>
  <c r="I11" i="1"/>
  <c r="J11" i="1"/>
  <c r="K11" i="1" s="1"/>
  <c r="L11" i="1" s="1"/>
  <c r="E12" i="1"/>
  <c r="F12" i="1"/>
  <c r="G12" i="1"/>
  <c r="H12" i="1"/>
  <c r="I12" i="1"/>
  <c r="J12" i="1"/>
  <c r="K12" i="1" s="1"/>
  <c r="L12" i="1" s="1"/>
  <c r="E13" i="1"/>
  <c r="F13" i="1"/>
  <c r="G13" i="1"/>
  <c r="H13" i="1"/>
  <c r="I13" i="1"/>
  <c r="J13" i="1"/>
  <c r="K13" i="1" s="1"/>
  <c r="L13" i="1" s="1"/>
  <c r="E14" i="1"/>
  <c r="F14" i="1"/>
  <c r="G14" i="1"/>
  <c r="H14" i="1"/>
  <c r="I14" i="1"/>
  <c r="J14" i="1"/>
  <c r="K14" i="1" s="1"/>
  <c r="L14" i="1" s="1"/>
  <c r="E15" i="1"/>
  <c r="F15" i="1"/>
  <c r="G15" i="1"/>
  <c r="H15" i="1"/>
  <c r="I15" i="1"/>
  <c r="J15" i="1"/>
  <c r="K15" i="1" s="1"/>
  <c r="L15" i="1" s="1"/>
</calcChain>
</file>

<file path=xl/sharedStrings.xml><?xml version="1.0" encoding="utf-8"?>
<sst xmlns="http://schemas.openxmlformats.org/spreadsheetml/2006/main" count="165" uniqueCount="65">
  <si>
    <t>Sr. No</t>
  </si>
  <si>
    <t>Student Name</t>
  </si>
  <si>
    <t>Father's Name</t>
  </si>
  <si>
    <t>Gender</t>
  </si>
  <si>
    <t>Sub1</t>
  </si>
  <si>
    <t>Sub2</t>
  </si>
  <si>
    <t>Sub3</t>
  </si>
  <si>
    <t>Sub4</t>
  </si>
  <si>
    <t>Sub5</t>
  </si>
  <si>
    <t>Total</t>
  </si>
  <si>
    <t>Average</t>
  </si>
  <si>
    <t>Pass/Fail</t>
  </si>
  <si>
    <t>yash</t>
  </si>
  <si>
    <t>A</t>
  </si>
  <si>
    <t>Male</t>
  </si>
  <si>
    <t>suraj</t>
  </si>
  <si>
    <t>B</t>
  </si>
  <si>
    <t>rahman</t>
  </si>
  <si>
    <t>C</t>
  </si>
  <si>
    <t>manvi</t>
  </si>
  <si>
    <t>D</t>
  </si>
  <si>
    <t>Female</t>
  </si>
  <si>
    <t>shubham</t>
  </si>
  <si>
    <t>E</t>
  </si>
  <si>
    <t>sapna</t>
  </si>
  <si>
    <t>F</t>
  </si>
  <si>
    <t>neha</t>
  </si>
  <si>
    <t>G</t>
  </si>
  <si>
    <t>ravi</t>
  </si>
  <si>
    <t>H</t>
  </si>
  <si>
    <t>ansh</t>
  </si>
  <si>
    <t>I</t>
  </si>
  <si>
    <t>gopal</t>
  </si>
  <si>
    <t>J</t>
  </si>
  <si>
    <t>tara</t>
  </si>
  <si>
    <t>K</t>
  </si>
  <si>
    <t>krish</t>
  </si>
  <si>
    <t>L</t>
  </si>
  <si>
    <t>john</t>
  </si>
  <si>
    <t>M</t>
  </si>
  <si>
    <t>Sum of Sub1</t>
  </si>
  <si>
    <t>Sum of Sub3</t>
  </si>
  <si>
    <t>Sum of Sub2</t>
  </si>
  <si>
    <t>Sum of Sub4</t>
  </si>
  <si>
    <t>Sum of Sub5</t>
  </si>
  <si>
    <t>Sum of Total</t>
  </si>
  <si>
    <t>Sum of Average</t>
  </si>
  <si>
    <t>Pass</t>
  </si>
  <si>
    <t>ansh Total</t>
  </si>
  <si>
    <t>gopal Total</t>
  </si>
  <si>
    <t>john Total</t>
  </si>
  <si>
    <t>krish Total</t>
  </si>
  <si>
    <t>manvi Total</t>
  </si>
  <si>
    <t>neha Total</t>
  </si>
  <si>
    <t>rahman Total</t>
  </si>
  <si>
    <t>(blank)</t>
  </si>
  <si>
    <t>Grand Total</t>
  </si>
  <si>
    <t>Fail</t>
  </si>
  <si>
    <t>ravi Total</t>
  </si>
  <si>
    <t>sapna Total</t>
  </si>
  <si>
    <t>shubham Total</t>
  </si>
  <si>
    <t>suraj Total</t>
  </si>
  <si>
    <t>tara Total</t>
  </si>
  <si>
    <t>yash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</si>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</sst>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 of student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Sum of Sub1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Table'!$E$4:$E$18</c:f>
              <c:strCache>
                <c:ptCount val="14"/>
                <c:pt idx="0">
                  <c:v>ansh</c:v>
                </c:pt>
                <c:pt idx="1">
                  <c:v>gopal</c:v>
                </c:pt>
                <c:pt idx="2">
                  <c:v>john</c:v>
                </c:pt>
                <c:pt idx="3">
                  <c:v>krish</c:v>
                </c:pt>
                <c:pt idx="4">
                  <c:v>manvi</c:v>
                </c:pt>
                <c:pt idx="5">
                  <c:v>neha</c:v>
                </c:pt>
                <c:pt idx="6">
                  <c:v>rahman</c:v>
                </c:pt>
                <c:pt idx="7">
                  <c:v>ravi</c:v>
                </c:pt>
                <c:pt idx="8">
                  <c:v>sapna</c:v>
                </c:pt>
                <c:pt idx="9">
                  <c:v>shubham</c:v>
                </c:pt>
                <c:pt idx="10">
                  <c:v>suraj</c:v>
                </c:pt>
                <c:pt idx="11">
                  <c:v>tara</c:v>
                </c:pt>
                <c:pt idx="12">
                  <c:v>yash</c:v>
                </c:pt>
                <c:pt idx="13">
                  <c:v>(blank)</c:v>
                </c:pt>
              </c:strCache>
            </c:strRef>
          </c:cat>
          <c:val>
            <c:numRef>
              <c:f>'Pivot Table'!$F$4:$F$18</c:f>
              <c:numCache>
                <c:formatCode>General</c:formatCode>
                <c:ptCount val="14"/>
                <c:pt idx="0">
                  <c:v>52</c:v>
                </c:pt>
                <c:pt idx="1">
                  <c:v>53</c:v>
                </c:pt>
                <c:pt idx="2">
                  <c:v>37</c:v>
                </c:pt>
                <c:pt idx="3">
                  <c:v>73</c:v>
                </c:pt>
                <c:pt idx="4">
                  <c:v>48</c:v>
                </c:pt>
                <c:pt idx="5">
                  <c:v>34</c:v>
                </c:pt>
                <c:pt idx="6">
                  <c:v>23</c:v>
                </c:pt>
                <c:pt idx="7">
                  <c:v>24</c:v>
                </c:pt>
                <c:pt idx="8">
                  <c:v>59</c:v>
                </c:pt>
                <c:pt idx="9">
                  <c:v>78</c:v>
                </c:pt>
                <c:pt idx="10">
                  <c:v>51</c:v>
                </c:pt>
                <c:pt idx="11">
                  <c:v>42</c:v>
                </c:pt>
                <c:pt idx="1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6-4869-8F30-1D28DF6741CF}"/>
            </c:ext>
          </c:extLst>
        </c:ser>
        <c:ser>
          <c:idx val="1"/>
          <c:order val="1"/>
          <c:tx>
            <c:strRef>
              <c:f>'Pivot Table'!$G$3</c:f>
              <c:strCache>
                <c:ptCount val="1"/>
                <c:pt idx="0">
                  <c:v>Sum of Sub3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Table'!$E$4:$E$18</c:f>
              <c:strCache>
                <c:ptCount val="14"/>
                <c:pt idx="0">
                  <c:v>ansh</c:v>
                </c:pt>
                <c:pt idx="1">
                  <c:v>gopal</c:v>
                </c:pt>
                <c:pt idx="2">
                  <c:v>john</c:v>
                </c:pt>
                <c:pt idx="3">
                  <c:v>krish</c:v>
                </c:pt>
                <c:pt idx="4">
                  <c:v>manvi</c:v>
                </c:pt>
                <c:pt idx="5">
                  <c:v>neha</c:v>
                </c:pt>
                <c:pt idx="6">
                  <c:v>rahman</c:v>
                </c:pt>
                <c:pt idx="7">
                  <c:v>ravi</c:v>
                </c:pt>
                <c:pt idx="8">
                  <c:v>sapna</c:v>
                </c:pt>
                <c:pt idx="9">
                  <c:v>shubham</c:v>
                </c:pt>
                <c:pt idx="10">
                  <c:v>suraj</c:v>
                </c:pt>
                <c:pt idx="11">
                  <c:v>tara</c:v>
                </c:pt>
                <c:pt idx="12">
                  <c:v>yash</c:v>
                </c:pt>
                <c:pt idx="13">
                  <c:v>(blank)</c:v>
                </c:pt>
              </c:strCache>
            </c:strRef>
          </c:cat>
          <c:val>
            <c:numRef>
              <c:f>'Pivot Table'!$G$4:$G$18</c:f>
              <c:numCache>
                <c:formatCode>General</c:formatCode>
                <c:ptCount val="14"/>
                <c:pt idx="0">
                  <c:v>23</c:v>
                </c:pt>
                <c:pt idx="1">
                  <c:v>83</c:v>
                </c:pt>
                <c:pt idx="2">
                  <c:v>66</c:v>
                </c:pt>
                <c:pt idx="3">
                  <c:v>28</c:v>
                </c:pt>
                <c:pt idx="4">
                  <c:v>55</c:v>
                </c:pt>
                <c:pt idx="5">
                  <c:v>70</c:v>
                </c:pt>
                <c:pt idx="6">
                  <c:v>31</c:v>
                </c:pt>
                <c:pt idx="7">
                  <c:v>76</c:v>
                </c:pt>
                <c:pt idx="8">
                  <c:v>21</c:v>
                </c:pt>
                <c:pt idx="9">
                  <c:v>98</c:v>
                </c:pt>
                <c:pt idx="10">
                  <c:v>84</c:v>
                </c:pt>
                <c:pt idx="11">
                  <c:v>95</c:v>
                </c:pt>
                <c:pt idx="1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6-4869-8F30-1D28DF6741CF}"/>
            </c:ext>
          </c:extLst>
        </c:ser>
        <c:ser>
          <c:idx val="2"/>
          <c:order val="2"/>
          <c:tx>
            <c:strRef>
              <c:f>'Pivot Table'!$H$3</c:f>
              <c:strCache>
                <c:ptCount val="1"/>
                <c:pt idx="0">
                  <c:v>Sum of Sub2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Table'!$E$4:$E$18</c:f>
              <c:strCache>
                <c:ptCount val="14"/>
                <c:pt idx="0">
                  <c:v>ansh</c:v>
                </c:pt>
                <c:pt idx="1">
                  <c:v>gopal</c:v>
                </c:pt>
                <c:pt idx="2">
                  <c:v>john</c:v>
                </c:pt>
                <c:pt idx="3">
                  <c:v>krish</c:v>
                </c:pt>
                <c:pt idx="4">
                  <c:v>manvi</c:v>
                </c:pt>
                <c:pt idx="5">
                  <c:v>neha</c:v>
                </c:pt>
                <c:pt idx="6">
                  <c:v>rahman</c:v>
                </c:pt>
                <c:pt idx="7">
                  <c:v>ravi</c:v>
                </c:pt>
                <c:pt idx="8">
                  <c:v>sapna</c:v>
                </c:pt>
                <c:pt idx="9">
                  <c:v>shubham</c:v>
                </c:pt>
                <c:pt idx="10">
                  <c:v>suraj</c:v>
                </c:pt>
                <c:pt idx="11">
                  <c:v>tara</c:v>
                </c:pt>
                <c:pt idx="12">
                  <c:v>yash</c:v>
                </c:pt>
                <c:pt idx="13">
                  <c:v>(blank)</c:v>
                </c:pt>
              </c:strCache>
            </c:strRef>
          </c:cat>
          <c:val>
            <c:numRef>
              <c:f>'Pivot Table'!$H$4:$H$18</c:f>
              <c:numCache>
                <c:formatCode>General</c:formatCode>
                <c:ptCount val="14"/>
                <c:pt idx="0">
                  <c:v>52</c:v>
                </c:pt>
                <c:pt idx="1">
                  <c:v>40</c:v>
                </c:pt>
                <c:pt idx="2">
                  <c:v>53</c:v>
                </c:pt>
                <c:pt idx="3">
                  <c:v>52</c:v>
                </c:pt>
                <c:pt idx="4">
                  <c:v>52</c:v>
                </c:pt>
                <c:pt idx="5">
                  <c:v>89</c:v>
                </c:pt>
                <c:pt idx="6">
                  <c:v>81</c:v>
                </c:pt>
                <c:pt idx="7">
                  <c:v>10</c:v>
                </c:pt>
                <c:pt idx="8">
                  <c:v>50</c:v>
                </c:pt>
                <c:pt idx="9">
                  <c:v>71</c:v>
                </c:pt>
                <c:pt idx="10">
                  <c:v>53</c:v>
                </c:pt>
                <c:pt idx="11">
                  <c:v>81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A6-4869-8F30-1D28DF6741CF}"/>
            </c:ext>
          </c:extLst>
        </c:ser>
        <c:ser>
          <c:idx val="3"/>
          <c:order val="3"/>
          <c:tx>
            <c:strRef>
              <c:f>'Pivot Table'!$I$3</c:f>
              <c:strCache>
                <c:ptCount val="1"/>
                <c:pt idx="0">
                  <c:v>Sum of Sub4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Table'!$E$4:$E$18</c:f>
              <c:strCache>
                <c:ptCount val="14"/>
                <c:pt idx="0">
                  <c:v>ansh</c:v>
                </c:pt>
                <c:pt idx="1">
                  <c:v>gopal</c:v>
                </c:pt>
                <c:pt idx="2">
                  <c:v>john</c:v>
                </c:pt>
                <c:pt idx="3">
                  <c:v>krish</c:v>
                </c:pt>
                <c:pt idx="4">
                  <c:v>manvi</c:v>
                </c:pt>
                <c:pt idx="5">
                  <c:v>neha</c:v>
                </c:pt>
                <c:pt idx="6">
                  <c:v>rahman</c:v>
                </c:pt>
                <c:pt idx="7">
                  <c:v>ravi</c:v>
                </c:pt>
                <c:pt idx="8">
                  <c:v>sapna</c:v>
                </c:pt>
                <c:pt idx="9">
                  <c:v>shubham</c:v>
                </c:pt>
                <c:pt idx="10">
                  <c:v>suraj</c:v>
                </c:pt>
                <c:pt idx="11">
                  <c:v>tara</c:v>
                </c:pt>
                <c:pt idx="12">
                  <c:v>yash</c:v>
                </c:pt>
                <c:pt idx="13">
                  <c:v>(blank)</c:v>
                </c:pt>
              </c:strCache>
            </c:strRef>
          </c:cat>
          <c:val>
            <c:numRef>
              <c:f>'Pivot Table'!$I$4:$I$18</c:f>
              <c:numCache>
                <c:formatCode>General</c:formatCode>
                <c:ptCount val="14"/>
                <c:pt idx="0">
                  <c:v>82</c:v>
                </c:pt>
                <c:pt idx="1">
                  <c:v>32</c:v>
                </c:pt>
                <c:pt idx="2">
                  <c:v>69</c:v>
                </c:pt>
                <c:pt idx="3">
                  <c:v>97</c:v>
                </c:pt>
                <c:pt idx="4">
                  <c:v>93</c:v>
                </c:pt>
                <c:pt idx="5">
                  <c:v>21</c:v>
                </c:pt>
                <c:pt idx="6">
                  <c:v>18</c:v>
                </c:pt>
                <c:pt idx="7">
                  <c:v>12</c:v>
                </c:pt>
                <c:pt idx="8">
                  <c:v>32</c:v>
                </c:pt>
                <c:pt idx="9">
                  <c:v>20</c:v>
                </c:pt>
                <c:pt idx="10">
                  <c:v>50</c:v>
                </c:pt>
                <c:pt idx="11">
                  <c:v>62</c:v>
                </c:pt>
                <c:pt idx="1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A6-4869-8F30-1D28DF6741CF}"/>
            </c:ext>
          </c:extLst>
        </c:ser>
        <c:ser>
          <c:idx val="4"/>
          <c:order val="4"/>
          <c:tx>
            <c:strRef>
              <c:f>'Pivot Table'!$J$3</c:f>
              <c:strCache>
                <c:ptCount val="1"/>
                <c:pt idx="0">
                  <c:v>Sum of Sub5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Table'!$E$4:$E$18</c:f>
              <c:strCache>
                <c:ptCount val="14"/>
                <c:pt idx="0">
                  <c:v>ansh</c:v>
                </c:pt>
                <c:pt idx="1">
                  <c:v>gopal</c:v>
                </c:pt>
                <c:pt idx="2">
                  <c:v>john</c:v>
                </c:pt>
                <c:pt idx="3">
                  <c:v>krish</c:v>
                </c:pt>
                <c:pt idx="4">
                  <c:v>manvi</c:v>
                </c:pt>
                <c:pt idx="5">
                  <c:v>neha</c:v>
                </c:pt>
                <c:pt idx="6">
                  <c:v>rahman</c:v>
                </c:pt>
                <c:pt idx="7">
                  <c:v>ravi</c:v>
                </c:pt>
                <c:pt idx="8">
                  <c:v>sapna</c:v>
                </c:pt>
                <c:pt idx="9">
                  <c:v>shubham</c:v>
                </c:pt>
                <c:pt idx="10">
                  <c:v>suraj</c:v>
                </c:pt>
                <c:pt idx="11">
                  <c:v>tara</c:v>
                </c:pt>
                <c:pt idx="12">
                  <c:v>yash</c:v>
                </c:pt>
                <c:pt idx="13">
                  <c:v>(blank)</c:v>
                </c:pt>
              </c:strCache>
            </c:strRef>
          </c:cat>
          <c:val>
            <c:numRef>
              <c:f>'Pivot Table'!$J$4:$J$18</c:f>
              <c:numCache>
                <c:formatCode>General</c:formatCode>
                <c:ptCount val="14"/>
                <c:pt idx="0">
                  <c:v>13</c:v>
                </c:pt>
                <c:pt idx="1">
                  <c:v>54</c:v>
                </c:pt>
                <c:pt idx="2">
                  <c:v>17</c:v>
                </c:pt>
                <c:pt idx="3">
                  <c:v>66</c:v>
                </c:pt>
                <c:pt idx="4">
                  <c:v>60</c:v>
                </c:pt>
                <c:pt idx="5">
                  <c:v>27</c:v>
                </c:pt>
                <c:pt idx="6">
                  <c:v>71</c:v>
                </c:pt>
                <c:pt idx="7">
                  <c:v>55</c:v>
                </c:pt>
                <c:pt idx="8">
                  <c:v>44</c:v>
                </c:pt>
                <c:pt idx="9">
                  <c:v>84</c:v>
                </c:pt>
                <c:pt idx="10">
                  <c:v>18</c:v>
                </c:pt>
                <c:pt idx="11">
                  <c:v>16</c:v>
                </c:pt>
                <c:pt idx="1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A6-4869-8F30-1D28DF6741CF}"/>
            </c:ext>
          </c:extLst>
        </c:ser>
        <c:ser>
          <c:idx val="5"/>
          <c:order val="5"/>
          <c:tx>
            <c:strRef>
              <c:f>'Pivot Table'!$K$3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Table'!$E$4:$E$18</c:f>
              <c:strCache>
                <c:ptCount val="14"/>
                <c:pt idx="0">
                  <c:v>ansh</c:v>
                </c:pt>
                <c:pt idx="1">
                  <c:v>gopal</c:v>
                </c:pt>
                <c:pt idx="2">
                  <c:v>john</c:v>
                </c:pt>
                <c:pt idx="3">
                  <c:v>krish</c:v>
                </c:pt>
                <c:pt idx="4">
                  <c:v>manvi</c:v>
                </c:pt>
                <c:pt idx="5">
                  <c:v>neha</c:v>
                </c:pt>
                <c:pt idx="6">
                  <c:v>rahman</c:v>
                </c:pt>
                <c:pt idx="7">
                  <c:v>ravi</c:v>
                </c:pt>
                <c:pt idx="8">
                  <c:v>sapna</c:v>
                </c:pt>
                <c:pt idx="9">
                  <c:v>shubham</c:v>
                </c:pt>
                <c:pt idx="10">
                  <c:v>suraj</c:v>
                </c:pt>
                <c:pt idx="11">
                  <c:v>tara</c:v>
                </c:pt>
                <c:pt idx="12">
                  <c:v>yash</c:v>
                </c:pt>
                <c:pt idx="13">
                  <c:v>(blank)</c:v>
                </c:pt>
              </c:strCache>
            </c:strRef>
          </c:cat>
          <c:val>
            <c:numRef>
              <c:f>'Pivot Table'!$K$4:$K$18</c:f>
              <c:numCache>
                <c:formatCode>General</c:formatCode>
                <c:ptCount val="14"/>
                <c:pt idx="0">
                  <c:v>222</c:v>
                </c:pt>
                <c:pt idx="1">
                  <c:v>262</c:v>
                </c:pt>
                <c:pt idx="2">
                  <c:v>242</c:v>
                </c:pt>
                <c:pt idx="3">
                  <c:v>316</c:v>
                </c:pt>
                <c:pt idx="4">
                  <c:v>308</c:v>
                </c:pt>
                <c:pt idx="5">
                  <c:v>241</c:v>
                </c:pt>
                <c:pt idx="6">
                  <c:v>224</c:v>
                </c:pt>
                <c:pt idx="7">
                  <c:v>177</c:v>
                </c:pt>
                <c:pt idx="8">
                  <c:v>206</c:v>
                </c:pt>
                <c:pt idx="9">
                  <c:v>351</c:v>
                </c:pt>
                <c:pt idx="10">
                  <c:v>256</c:v>
                </c:pt>
                <c:pt idx="11">
                  <c:v>296</c:v>
                </c:pt>
                <c:pt idx="12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A6-4869-8F30-1D28DF6741CF}"/>
            </c:ext>
          </c:extLst>
        </c:ser>
        <c:ser>
          <c:idx val="6"/>
          <c:order val="6"/>
          <c:tx>
            <c:strRef>
              <c:f>'Pivot Table'!$L$3</c:f>
              <c:strCache>
                <c:ptCount val="1"/>
                <c:pt idx="0">
                  <c:v>Sum of Average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Table'!$E$4:$E$18</c:f>
              <c:strCache>
                <c:ptCount val="14"/>
                <c:pt idx="0">
                  <c:v>ansh</c:v>
                </c:pt>
                <c:pt idx="1">
                  <c:v>gopal</c:v>
                </c:pt>
                <c:pt idx="2">
                  <c:v>john</c:v>
                </c:pt>
                <c:pt idx="3">
                  <c:v>krish</c:v>
                </c:pt>
                <c:pt idx="4">
                  <c:v>manvi</c:v>
                </c:pt>
                <c:pt idx="5">
                  <c:v>neha</c:v>
                </c:pt>
                <c:pt idx="6">
                  <c:v>rahman</c:v>
                </c:pt>
                <c:pt idx="7">
                  <c:v>ravi</c:v>
                </c:pt>
                <c:pt idx="8">
                  <c:v>sapna</c:v>
                </c:pt>
                <c:pt idx="9">
                  <c:v>shubham</c:v>
                </c:pt>
                <c:pt idx="10">
                  <c:v>suraj</c:v>
                </c:pt>
                <c:pt idx="11">
                  <c:v>tara</c:v>
                </c:pt>
                <c:pt idx="12">
                  <c:v>yash</c:v>
                </c:pt>
                <c:pt idx="13">
                  <c:v>(blank)</c:v>
                </c:pt>
              </c:strCache>
            </c:strRef>
          </c:cat>
          <c:val>
            <c:numRef>
              <c:f>'Pivot Table'!$L$4:$L$18</c:f>
              <c:numCache>
                <c:formatCode>General</c:formatCode>
                <c:ptCount val="14"/>
                <c:pt idx="0">
                  <c:v>44.4</c:v>
                </c:pt>
                <c:pt idx="1">
                  <c:v>52.4</c:v>
                </c:pt>
                <c:pt idx="2">
                  <c:v>48.4</c:v>
                </c:pt>
                <c:pt idx="3">
                  <c:v>63.2</c:v>
                </c:pt>
                <c:pt idx="4">
                  <c:v>61.6</c:v>
                </c:pt>
                <c:pt idx="5">
                  <c:v>48.2</c:v>
                </c:pt>
                <c:pt idx="6">
                  <c:v>44.8</c:v>
                </c:pt>
                <c:pt idx="7">
                  <c:v>35.4</c:v>
                </c:pt>
                <c:pt idx="8">
                  <c:v>41.2</c:v>
                </c:pt>
                <c:pt idx="9">
                  <c:v>70.2</c:v>
                </c:pt>
                <c:pt idx="10">
                  <c:v>51.2</c:v>
                </c:pt>
                <c:pt idx="11">
                  <c:v>59.2</c:v>
                </c:pt>
                <c:pt idx="12">
                  <c:v>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A6-4869-8F30-1D28DF674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359112"/>
        <c:axId val="837361160"/>
      </c:barChart>
      <c:catAx>
        <c:axId val="83735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361160"/>
        <c:crosses val="autoZero"/>
        <c:auto val="1"/>
        <c:lblAlgn val="ctr"/>
        <c:lblOffset val="100"/>
        <c:noMultiLvlLbl val="0"/>
      </c:catAx>
      <c:valAx>
        <c:axId val="83736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35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24-4194-AD18-E796A0CF10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24-4194-AD18-E796A0CF10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24-4194-AD18-E796A0CF10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24-4194-AD18-E796A0CF10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24-4194-AD18-E796A0CF10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24-4194-AD18-E796A0CF10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E24-4194-AD18-E796A0CF10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E24-4194-AD18-E796A0CF10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24-4194-AD18-E796A0CF10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E24-4194-AD18-E796A0CF10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E24-4194-AD18-E796A0CF10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E24-4194-AD18-E796A0CF10E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E24-4194-AD18-E796A0CF10E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E24-4194-AD18-E796A0CF10EC}"/>
              </c:ext>
            </c:extLst>
          </c:dPt>
          <c:cat>
            <c:multiLvlStrRef>
              <c:f>'Pivot Table'!$O$4:$P$32</c:f>
              <c:multiLvlStrCache>
                <c:ptCount val="14"/>
                <c:lvl>
                  <c:pt idx="0">
                    <c:v>Pass</c:v>
                  </c:pt>
                  <c:pt idx="1">
                    <c:v>Pass</c:v>
                  </c:pt>
                  <c:pt idx="2">
                    <c:v>Pass</c:v>
                  </c:pt>
                  <c:pt idx="3">
                    <c:v>Pass</c:v>
                  </c:pt>
                  <c:pt idx="4">
                    <c:v>Pass</c:v>
                  </c:pt>
                  <c:pt idx="5">
                    <c:v>Pass</c:v>
                  </c:pt>
                  <c:pt idx="6">
                    <c:v>Pass</c:v>
                  </c:pt>
                  <c:pt idx="7">
                    <c:v>Fail</c:v>
                  </c:pt>
                  <c:pt idx="8">
                    <c:v>Pass</c:v>
                  </c:pt>
                  <c:pt idx="9">
                    <c:v>Pass</c:v>
                  </c:pt>
                  <c:pt idx="10">
                    <c:v>Pass</c:v>
                  </c:pt>
                  <c:pt idx="11">
                    <c:v>Pass</c:v>
                  </c:pt>
                  <c:pt idx="12">
                    <c:v>Pass</c:v>
                  </c:pt>
                  <c:pt idx="13">
                    <c:v>(blank)</c:v>
                  </c:pt>
                </c:lvl>
                <c:lvl>
                  <c:pt idx="0">
                    <c:v>ansh</c:v>
                  </c:pt>
                  <c:pt idx="1">
                    <c:v>gopal</c:v>
                  </c:pt>
                  <c:pt idx="2">
                    <c:v>john</c:v>
                  </c:pt>
                  <c:pt idx="3">
                    <c:v>krish</c:v>
                  </c:pt>
                  <c:pt idx="4">
                    <c:v>manvi</c:v>
                  </c:pt>
                  <c:pt idx="5">
                    <c:v>neha</c:v>
                  </c:pt>
                  <c:pt idx="6">
                    <c:v>rahman</c:v>
                  </c:pt>
                  <c:pt idx="7">
                    <c:v>ravi</c:v>
                  </c:pt>
                  <c:pt idx="8">
                    <c:v>sapna</c:v>
                  </c:pt>
                  <c:pt idx="9">
                    <c:v>shubham</c:v>
                  </c:pt>
                  <c:pt idx="10">
                    <c:v>suraj</c:v>
                  </c:pt>
                  <c:pt idx="11">
                    <c:v>tara</c:v>
                  </c:pt>
                  <c:pt idx="12">
                    <c:v>yash</c:v>
                  </c:pt>
                  <c:pt idx="13">
                    <c:v>(blank)</c:v>
                  </c:pt>
                </c:lvl>
              </c:multiLvlStrCache>
            </c:multiLvlStrRef>
          </c:cat>
          <c:val>
            <c:numRef>
              <c:f>'Pivot Table'!$Q$4:$Q$32</c:f>
              <c:numCache>
                <c:formatCode>General</c:formatCode>
                <c:ptCount val="14"/>
                <c:pt idx="0">
                  <c:v>44.4</c:v>
                </c:pt>
                <c:pt idx="1">
                  <c:v>52.4</c:v>
                </c:pt>
                <c:pt idx="2">
                  <c:v>48.4</c:v>
                </c:pt>
                <c:pt idx="3">
                  <c:v>63.2</c:v>
                </c:pt>
                <c:pt idx="4">
                  <c:v>61.6</c:v>
                </c:pt>
                <c:pt idx="5">
                  <c:v>48.2</c:v>
                </c:pt>
                <c:pt idx="6">
                  <c:v>44.8</c:v>
                </c:pt>
                <c:pt idx="7">
                  <c:v>35.4</c:v>
                </c:pt>
                <c:pt idx="8">
                  <c:v>41.2</c:v>
                </c:pt>
                <c:pt idx="9">
                  <c:v>70.2</c:v>
                </c:pt>
                <c:pt idx="10">
                  <c:v>51.2</c:v>
                </c:pt>
                <c:pt idx="11">
                  <c:v>59.2</c:v>
                </c:pt>
                <c:pt idx="12">
                  <c:v>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E24-4194-AD18-E796A0CF1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2</xdr:row>
      <xdr:rowOff>57150</xdr:rowOff>
    </xdr:from>
    <xdr:to>
      <xdr:col>8</xdr:col>
      <xdr:colOff>257175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7472B-62E4-43B3-A28E-06CBA25E0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2</xdr:row>
      <xdr:rowOff>57150</xdr:rowOff>
    </xdr:from>
    <xdr:to>
      <xdr:col>17</xdr:col>
      <xdr:colOff>180975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8E6BE8-BA1B-4FCE-851D-9C83EC3EE324}"/>
            </a:ext>
            <a:ext uri="{147F2762-F138-4A5C-976F-8EAC2B608ADB}">
              <a16:predDERef xmlns:a16="http://schemas.microsoft.com/office/drawing/2014/main" pred="{4957472B-62E4-43B3-A28E-06CBA25E0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8.30897002315" createdVersion="8" refreshedVersion="8" minRefreshableVersion="3" recordCount="14" xr:uid="{2A53599A-8B62-4DCA-A85F-4E99B9047ACA}">
  <cacheSource type="worksheet">
    <worksheetSource ref="A1:L15" sheet="Source Data"/>
  </cacheSource>
  <cacheFields count="12">
    <cacheField name="Sr. No" numFmtId="0">
      <sharedItems containsString="0" containsBlank="1" containsNumber="1" containsInteger="1" minValue="1" maxValue="13"/>
    </cacheField>
    <cacheField name="Student Name" numFmtId="0">
      <sharedItems containsBlank="1" count="14">
        <m/>
        <s v="yash"/>
        <s v="suraj"/>
        <s v="rahman"/>
        <s v="manvi"/>
        <s v="shubham"/>
        <s v="sapna"/>
        <s v="neha"/>
        <s v="ravi"/>
        <s v="ansh"/>
        <s v="gopal"/>
        <s v="tara"/>
        <s v="krish"/>
        <s v="john"/>
      </sharedItems>
    </cacheField>
    <cacheField name="Father's Name" numFmtId="0">
      <sharedItems containsBlank="1"/>
    </cacheField>
    <cacheField name="Gender" numFmtId="0">
      <sharedItems containsBlank="1" count="3">
        <m/>
        <s v="Male"/>
        <s v="Female"/>
      </sharedItems>
    </cacheField>
    <cacheField name="Sub1" numFmtId="0">
      <sharedItems containsString="0" containsBlank="1" containsNumber="1" containsInteger="1" minValue="23" maxValue="78"/>
    </cacheField>
    <cacheField name="Sub2" numFmtId="0">
      <sharedItems containsString="0" containsBlank="1" containsNumber="1" containsInteger="1" minValue="10" maxValue="89"/>
    </cacheField>
    <cacheField name="Sub3" numFmtId="0">
      <sharedItems containsString="0" containsBlank="1" containsNumber="1" containsInteger="1" minValue="21" maxValue="98"/>
    </cacheField>
    <cacheField name="Sub4" numFmtId="0">
      <sharedItems containsString="0" containsBlank="1" containsNumber="1" containsInteger="1" minValue="12" maxValue="97"/>
    </cacheField>
    <cacheField name="Sub5" numFmtId="0">
      <sharedItems containsString="0" containsBlank="1" containsNumber="1" containsInteger="1" minValue="13" maxValue="84"/>
    </cacheField>
    <cacheField name="Total" numFmtId="0">
      <sharedItems containsString="0" containsBlank="1" containsNumber="1" containsInteger="1" minValue="177" maxValue="351"/>
    </cacheField>
    <cacheField name="Average" numFmtId="0">
      <sharedItems containsString="0" containsBlank="1" containsNumber="1" minValue="35.4" maxValue="70.2"/>
    </cacheField>
    <cacheField name="Pass/Fail" numFmtId="0">
      <sharedItems containsBlank="1" count="3">
        <m/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m/>
    <x v="0"/>
    <m/>
    <x v="0"/>
    <m/>
    <m/>
    <m/>
    <m/>
    <m/>
    <m/>
    <m/>
    <x v="0"/>
  </r>
  <r>
    <n v="1"/>
    <x v="1"/>
    <s v="A"/>
    <x v="1"/>
    <n v="56"/>
    <n v="10"/>
    <n v="95"/>
    <n v="19"/>
    <n v="23"/>
    <n v="203"/>
    <n v="40.6"/>
    <x v="1"/>
  </r>
  <r>
    <n v="2"/>
    <x v="2"/>
    <s v="B"/>
    <x v="1"/>
    <n v="51"/>
    <n v="53"/>
    <n v="84"/>
    <n v="50"/>
    <n v="18"/>
    <n v="256"/>
    <n v="51.2"/>
    <x v="1"/>
  </r>
  <r>
    <n v="3"/>
    <x v="3"/>
    <s v="C"/>
    <x v="1"/>
    <n v="23"/>
    <n v="81"/>
    <n v="31"/>
    <n v="18"/>
    <n v="71"/>
    <n v="224"/>
    <n v="44.8"/>
    <x v="1"/>
  </r>
  <r>
    <n v="4"/>
    <x v="4"/>
    <s v="D"/>
    <x v="2"/>
    <n v="48"/>
    <n v="52"/>
    <n v="55"/>
    <n v="93"/>
    <n v="60"/>
    <n v="308"/>
    <n v="61.6"/>
    <x v="1"/>
  </r>
  <r>
    <n v="5"/>
    <x v="5"/>
    <s v="E"/>
    <x v="2"/>
    <n v="78"/>
    <n v="71"/>
    <n v="98"/>
    <n v="20"/>
    <n v="84"/>
    <n v="351"/>
    <n v="70.2"/>
    <x v="1"/>
  </r>
  <r>
    <n v="6"/>
    <x v="6"/>
    <s v="F"/>
    <x v="2"/>
    <n v="59"/>
    <n v="50"/>
    <n v="21"/>
    <n v="32"/>
    <n v="44"/>
    <n v="206"/>
    <n v="41.2"/>
    <x v="1"/>
  </r>
  <r>
    <n v="7"/>
    <x v="7"/>
    <s v="G"/>
    <x v="2"/>
    <n v="34"/>
    <n v="89"/>
    <n v="70"/>
    <n v="21"/>
    <n v="27"/>
    <n v="241"/>
    <n v="48.2"/>
    <x v="1"/>
  </r>
  <r>
    <n v="8"/>
    <x v="8"/>
    <s v="H"/>
    <x v="1"/>
    <n v="24"/>
    <n v="10"/>
    <n v="76"/>
    <n v="12"/>
    <n v="55"/>
    <n v="177"/>
    <n v="35.4"/>
    <x v="2"/>
  </r>
  <r>
    <n v="9"/>
    <x v="9"/>
    <s v="I"/>
    <x v="1"/>
    <n v="52"/>
    <n v="52"/>
    <n v="23"/>
    <n v="82"/>
    <n v="13"/>
    <n v="222"/>
    <n v="44.4"/>
    <x v="1"/>
  </r>
  <r>
    <n v="10"/>
    <x v="10"/>
    <s v="J"/>
    <x v="2"/>
    <n v="53"/>
    <n v="40"/>
    <n v="83"/>
    <n v="32"/>
    <n v="54"/>
    <n v="262"/>
    <n v="52.4"/>
    <x v="1"/>
  </r>
  <r>
    <n v="11"/>
    <x v="11"/>
    <s v="K"/>
    <x v="2"/>
    <n v="42"/>
    <n v="81"/>
    <n v="95"/>
    <n v="62"/>
    <n v="16"/>
    <n v="296"/>
    <n v="59.2"/>
    <x v="1"/>
  </r>
  <r>
    <n v="12"/>
    <x v="12"/>
    <s v="L"/>
    <x v="1"/>
    <n v="73"/>
    <n v="52"/>
    <n v="28"/>
    <n v="97"/>
    <n v="66"/>
    <n v="316"/>
    <n v="63.2"/>
    <x v="1"/>
  </r>
  <r>
    <n v="13"/>
    <x v="13"/>
    <s v="M"/>
    <x v="1"/>
    <n v="37"/>
    <n v="53"/>
    <n v="66"/>
    <n v="69"/>
    <n v="17"/>
    <n v="242"/>
    <n v="48.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8CEA6-5ACF-4D37-8165-C89DA0012E2B}" name="PivotTable2" cacheId="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E3:L18" firstHeaderRow="0" firstDataRow="1" firstDataCol="1"/>
  <pivotFields count="12">
    <pivotField compact="0" outline="0" showAll="0"/>
    <pivotField axis="axisRow" compact="0" outline="0" showAll="0">
      <items count="15">
        <item x="9"/>
        <item x="10"/>
        <item x="13"/>
        <item x="12"/>
        <item x="4"/>
        <item x="7"/>
        <item x="3"/>
        <item x="8"/>
        <item x="6"/>
        <item x="5"/>
        <item x="2"/>
        <item x="11"/>
        <item x="1"/>
        <item x="0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Sub1" fld="4" baseField="0" baseItem="0"/>
    <dataField name="Sum of Sub3" fld="6" baseField="0" baseItem="0"/>
    <dataField name="Sum of Sub2" fld="5" baseField="0" baseItem="0"/>
    <dataField name="Sum of Sub4" fld="7" baseField="0" baseItem="0"/>
    <dataField name="Sum of Sub5" fld="8" baseField="0" baseItem="0"/>
    <dataField name="Sum of Total" fld="9" baseField="0" baseItem="0"/>
    <dataField name="Sum of Average" fld="10" baseField="0" baseItem="0"/>
  </dataFields>
  <chartFormats count="49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3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3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43C81-2BA6-4975-B6CC-6EF01E5BC7D0}" name="PivotTable1" cacheId="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32" firstHeaderRow="1" firstDataRow="1" firstDataCol="2"/>
  <pivotFields count="12">
    <pivotField compact="0" outline="0" showAll="0"/>
    <pivotField axis="axisRow" compact="0" outline="0" showAll="0">
      <items count="15">
        <item x="9"/>
        <item x="10"/>
        <item x="13"/>
        <item x="12"/>
        <item x="4"/>
        <item x="7"/>
        <item x="3"/>
        <item x="8"/>
        <item x="6"/>
        <item x="5"/>
        <item x="2"/>
        <item x="11"/>
        <item x="1"/>
        <item x="0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3"/>
  </rowFields>
  <rowItems count="29">
    <i>
      <x/>
      <x v="1"/>
    </i>
    <i t="default">
      <x/>
    </i>
    <i>
      <x v="1"/>
      <x/>
    </i>
    <i t="default">
      <x v="1"/>
    </i>
    <i>
      <x v="2"/>
      <x v="1"/>
    </i>
    <i t="default">
      <x v="2"/>
    </i>
    <i>
      <x v="3"/>
      <x v="1"/>
    </i>
    <i t="default">
      <x v="3"/>
    </i>
    <i>
      <x v="4"/>
      <x/>
    </i>
    <i t="default">
      <x v="4"/>
    </i>
    <i>
      <x v="5"/>
      <x/>
    </i>
    <i t="default">
      <x v="5"/>
    </i>
    <i>
      <x v="6"/>
      <x v="1"/>
    </i>
    <i t="default">
      <x v="6"/>
    </i>
    <i>
      <x v="7"/>
      <x v="1"/>
    </i>
    <i t="default">
      <x v="7"/>
    </i>
    <i>
      <x v="8"/>
      <x/>
    </i>
    <i t="default">
      <x v="8"/>
    </i>
    <i>
      <x v="9"/>
      <x/>
    </i>
    <i t="default">
      <x v="9"/>
    </i>
    <i>
      <x v="10"/>
      <x v="1"/>
    </i>
    <i t="default">
      <x v="10"/>
    </i>
    <i>
      <x v="11"/>
      <x/>
    </i>
    <i t="default">
      <x v="11"/>
    </i>
    <i>
      <x v="12"/>
      <x v="1"/>
    </i>
    <i t="default">
      <x v="12"/>
    </i>
    <i>
      <x v="13"/>
      <x v="2"/>
    </i>
    <i t="default">
      <x v="13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EE693-32CA-40B0-8A79-E5A9ED48533B}" name="PivotTable5" cacheId="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O3:Q32" firstHeaderRow="1" firstDataRow="1" firstDataCol="2"/>
  <pivotFields count="12">
    <pivotField compact="0" outline="0" showAll="0"/>
    <pivotField axis="axisRow" compact="0" outline="0" showAll="0">
      <items count="15">
        <item x="9"/>
        <item x="10"/>
        <item x="13"/>
        <item x="12"/>
        <item x="4"/>
        <item x="7"/>
        <item x="3"/>
        <item x="8"/>
        <item x="6"/>
        <item x="5"/>
        <item x="2"/>
        <item x="11"/>
        <item x="1"/>
        <item x="0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2">
    <field x="1"/>
    <field x="11"/>
  </rowFields>
  <rowItems count="29">
    <i>
      <x/>
      <x v="1"/>
    </i>
    <i t="default">
      <x/>
    </i>
    <i>
      <x v="1"/>
      <x v="1"/>
    </i>
    <i t="default">
      <x v="1"/>
    </i>
    <i>
      <x v="2"/>
      <x v="1"/>
    </i>
    <i t="default">
      <x v="2"/>
    </i>
    <i>
      <x v="3"/>
      <x v="1"/>
    </i>
    <i t="default">
      <x v="3"/>
    </i>
    <i>
      <x v="4"/>
      <x v="1"/>
    </i>
    <i t="default">
      <x v="4"/>
    </i>
    <i>
      <x v="5"/>
      <x v="1"/>
    </i>
    <i t="default">
      <x v="5"/>
    </i>
    <i>
      <x v="6"/>
      <x v="1"/>
    </i>
    <i t="default">
      <x v="6"/>
    </i>
    <i>
      <x v="7"/>
      <x/>
    </i>
    <i t="default">
      <x v="7"/>
    </i>
    <i>
      <x v="8"/>
      <x v="1"/>
    </i>
    <i t="default">
      <x v="8"/>
    </i>
    <i>
      <x v="9"/>
      <x v="1"/>
    </i>
    <i t="default">
      <x v="9"/>
    </i>
    <i>
      <x v="10"/>
      <x v="1"/>
    </i>
    <i t="default">
      <x v="10"/>
    </i>
    <i>
      <x v="11"/>
      <x v="1"/>
    </i>
    <i t="default">
      <x v="11"/>
    </i>
    <i>
      <x v="12"/>
      <x v="1"/>
    </i>
    <i t="default">
      <x v="12"/>
    </i>
    <i>
      <x v="13"/>
      <x v="2"/>
    </i>
    <i t="default">
      <x v="13"/>
    </i>
    <i t="grand">
      <x/>
    </i>
  </rowItems>
  <colItems count="1">
    <i/>
  </colItems>
  <dataFields count="1">
    <dataField name="Sum of Average" fld="10" baseField="0" baseItem="0"/>
  </dataFields>
  <chartFormats count="60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1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1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1" count="1" selected="0">
            <x v="1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1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1" count="1" selected="0">
            <x v="1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1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1" count="1" selected="0">
            <x v="1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1" count="1" selected="0">
            <x v="0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1" count="1" selected="0">
            <x v="1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1" count="1" selected="0">
            <x v="1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1" count="1" selected="0">
            <x v="1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1" count="1" selected="0">
            <x v="1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1" count="1" selected="0">
            <x v="1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1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1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1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1" count="1" selected="0">
            <x v="1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1" count="1" selected="0">
            <x v="1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1" count="1" selected="0">
            <x v="1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1" count="1" selected="0">
            <x v="1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1" count="1" selected="0">
            <x v="1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1" count="1" selected="0">
            <x v="0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1" count="1" selected="0">
            <x v="1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1" count="1" selected="0">
            <x v="1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1" count="1" selected="0">
            <x v="1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1" count="1" selected="0">
            <x v="1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1" count="1" selected="0">
            <x v="1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1" count="1" selected="0">
            <x v="2"/>
          </reference>
        </references>
      </pivotArea>
    </chartFormat>
    <chartFormat chart="5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1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1"/>
          </reference>
        </references>
      </pivotArea>
    </chartFormat>
    <chartFormat chart="5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1" count="1" selected="0">
            <x v="1"/>
          </reference>
        </references>
      </pivotArea>
    </chartFormat>
    <chartFormat chart="5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1" count="1" selected="0">
            <x v="1"/>
          </reference>
        </references>
      </pivotArea>
    </chartFormat>
    <chartFormat chart="5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1" count="1" selected="0">
            <x v="1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1" count="1" selected="0">
            <x v="1"/>
          </reference>
        </references>
      </pivotArea>
    </chartFormat>
    <chartFormat chart="5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1" count="1" selected="0">
            <x v="1"/>
          </reference>
        </references>
      </pivotArea>
    </chartFormat>
    <chartFormat chart="5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1" count="1" selected="0">
            <x v="0"/>
          </reference>
        </references>
      </pivotArea>
    </chartFormat>
    <chartFormat chart="5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1" count="1" selected="0">
            <x v="1"/>
          </reference>
        </references>
      </pivotArea>
    </chartFormat>
    <chartFormat chart="5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1" count="1" selected="0">
            <x v="1"/>
          </reference>
        </references>
      </pivotArea>
    </chartFormat>
    <chartFormat chart="5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1" count="1" selected="0">
            <x v="1"/>
          </reference>
        </references>
      </pivotArea>
    </chartFormat>
    <chartFormat chart="5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1" count="1" selected="0">
            <x v="1"/>
          </reference>
        </references>
      </pivotArea>
    </chartFormat>
    <chartFormat chart="5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1" count="1" selected="0">
            <x v="1"/>
          </reference>
        </references>
      </pivotArea>
    </chartFormat>
    <chartFormat chart="5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1" count="1" selected="0">
            <x v="2"/>
          </reference>
        </references>
      </pivotArea>
    </chartFormat>
    <chartFormat chart="6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1"/>
          </reference>
        </references>
      </pivotArea>
    </chartFormat>
    <chartFormat chart="6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1"/>
          </reference>
        </references>
      </pivotArea>
    </chartFormat>
    <chartFormat chart="6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1" count="1" selected="0">
            <x v="1"/>
          </reference>
        </references>
      </pivotArea>
    </chartFormat>
    <chartFormat chart="6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1" count="1" selected="0">
            <x v="1"/>
          </reference>
        </references>
      </pivotArea>
    </chartFormat>
    <chartFormat chart="6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1" count="1" selected="0">
            <x v="1"/>
          </reference>
        </references>
      </pivotArea>
    </chartFormat>
    <chartFormat chart="6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1" count="1" selected="0">
            <x v="1"/>
          </reference>
        </references>
      </pivotArea>
    </chartFormat>
    <chartFormat chart="6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1" count="1" selected="0">
            <x v="1"/>
          </reference>
        </references>
      </pivotArea>
    </chartFormat>
    <chartFormat chart="6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1" count="1" selected="0">
            <x v="0"/>
          </reference>
        </references>
      </pivotArea>
    </chartFormat>
    <chartFormat chart="6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1" count="1" selected="0">
            <x v="1"/>
          </reference>
        </references>
      </pivotArea>
    </chartFormat>
    <chartFormat chart="6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1" count="1" selected="0">
            <x v="1"/>
          </reference>
        </references>
      </pivotArea>
    </chartFormat>
    <chartFormat chart="6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1" count="1" selected="0">
            <x v="1"/>
          </reference>
        </references>
      </pivotArea>
    </chartFormat>
    <chartFormat chart="6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1" count="1" selected="0">
            <x v="1"/>
          </reference>
        </references>
      </pivotArea>
    </chartFormat>
    <chartFormat chart="6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1" count="1" selected="0">
            <x v="1"/>
          </reference>
        </references>
      </pivotArea>
    </chartFormat>
    <chartFormat chart="6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workbookViewId="0">
      <selection activeCell="M2" sqref="M2"/>
    </sheetView>
  </sheetViews>
  <sheetFormatPr defaultRowHeight="15"/>
  <cols>
    <col min="2" max="3" width="13.7109375" bestFit="1" customWidth="1"/>
    <col min="5" max="5" width="9.140625" customWidth="1"/>
    <col min="12" max="12" width="10.42578125" customWidth="1"/>
  </cols>
  <sheetData>
    <row r="1" spans="1:17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11</v>
      </c>
    </row>
    <row r="2" spans="1:17">
      <c r="A2" s="3"/>
    </row>
    <row r="3" spans="1:17">
      <c r="A3" s="3">
        <v>1</v>
      </c>
      <c r="B3" t="s">
        <v>12</v>
      </c>
      <c r="C3" s="3" t="s">
        <v>13</v>
      </c>
      <c r="D3" t="s">
        <v>14</v>
      </c>
      <c r="E3" s="3">
        <v>56</v>
      </c>
      <c r="F3" s="3">
        <f t="shared" ref="F3:I15" ca="1" si="0">RANDBETWEEN(10,100)</f>
        <v>39</v>
      </c>
      <c r="G3" s="3">
        <f t="shared" ca="1" si="0"/>
        <v>13</v>
      </c>
      <c r="H3" s="3">
        <f t="shared" ca="1" si="0"/>
        <v>43</v>
      </c>
      <c r="I3" s="3">
        <f t="shared" ca="1" si="0"/>
        <v>92</v>
      </c>
      <c r="J3" s="3">
        <f ca="1">SUM(E3:I3)</f>
        <v>243</v>
      </c>
      <c r="K3" s="3">
        <f ca="1">AVERAGE(J3/5)</f>
        <v>48.6</v>
      </c>
      <c r="L3" s="3" t="str">
        <f ca="1">IF(K3&gt;=40,"Pass","Fail")</f>
        <v>Pass</v>
      </c>
      <c r="M3" s="3"/>
      <c r="N3" s="3"/>
      <c r="O3" s="3"/>
      <c r="P3" s="3"/>
      <c r="Q3" s="3"/>
    </row>
    <row r="4" spans="1:17">
      <c r="A4" s="3">
        <v>2</v>
      </c>
      <c r="B4" t="s">
        <v>15</v>
      </c>
      <c r="C4" s="3" t="s">
        <v>16</v>
      </c>
      <c r="D4" t="s">
        <v>14</v>
      </c>
      <c r="E4" s="3">
        <f t="shared" ref="E4:E15" ca="1" si="1">RANDBETWEEN(10,100)</f>
        <v>86</v>
      </c>
      <c r="F4" s="3">
        <f t="shared" ca="1" si="0"/>
        <v>23</v>
      </c>
      <c r="G4" s="3">
        <f t="shared" ca="1" si="0"/>
        <v>86</v>
      </c>
      <c r="H4" s="3">
        <f t="shared" ca="1" si="0"/>
        <v>44</v>
      </c>
      <c r="I4" s="3">
        <f t="shared" ca="1" si="0"/>
        <v>66</v>
      </c>
      <c r="J4" s="3">
        <f t="shared" ref="J4:J15" ca="1" si="2">SUM(E4:I4)</f>
        <v>305</v>
      </c>
      <c r="K4" s="3">
        <f t="shared" ref="K4:K15" ca="1" si="3">AVERAGE(J4/5)</f>
        <v>61</v>
      </c>
      <c r="L4" s="3" t="str">
        <f t="shared" ref="L4:L15" ca="1" si="4">IF(K4&gt;=40,"Pass","Fail")</f>
        <v>Pass</v>
      </c>
      <c r="M4" s="3"/>
      <c r="N4" s="3"/>
      <c r="O4" s="3"/>
      <c r="P4" s="3"/>
      <c r="Q4" s="3"/>
    </row>
    <row r="5" spans="1:17">
      <c r="A5" s="3">
        <v>3</v>
      </c>
      <c r="B5" t="s">
        <v>17</v>
      </c>
      <c r="C5" s="3" t="s">
        <v>18</v>
      </c>
      <c r="D5" t="s">
        <v>14</v>
      </c>
      <c r="E5" s="3">
        <f t="shared" ca="1" si="1"/>
        <v>11</v>
      </c>
      <c r="F5" s="3">
        <f t="shared" ca="1" si="0"/>
        <v>86</v>
      </c>
      <c r="G5" s="3">
        <f t="shared" ca="1" si="0"/>
        <v>91</v>
      </c>
      <c r="H5" s="3">
        <f t="shared" ca="1" si="0"/>
        <v>68</v>
      </c>
      <c r="I5" s="3">
        <f t="shared" ca="1" si="0"/>
        <v>55</v>
      </c>
      <c r="J5" s="3">
        <f t="shared" ca="1" si="2"/>
        <v>311</v>
      </c>
      <c r="K5" s="3">
        <f t="shared" ca="1" si="3"/>
        <v>62.2</v>
      </c>
      <c r="L5" s="3" t="str">
        <f t="shared" ca="1" si="4"/>
        <v>Pass</v>
      </c>
      <c r="M5" s="3"/>
      <c r="N5" s="3"/>
      <c r="O5" s="3"/>
      <c r="P5" s="3"/>
      <c r="Q5" s="3"/>
    </row>
    <row r="6" spans="1:17">
      <c r="A6" s="3">
        <v>4</v>
      </c>
      <c r="B6" t="s">
        <v>19</v>
      </c>
      <c r="C6" s="3" t="s">
        <v>20</v>
      </c>
      <c r="D6" t="s">
        <v>21</v>
      </c>
      <c r="E6" s="3">
        <f t="shared" ca="1" si="1"/>
        <v>68</v>
      </c>
      <c r="F6" s="3">
        <f t="shared" ca="1" si="0"/>
        <v>46</v>
      </c>
      <c r="G6" s="3">
        <f t="shared" ca="1" si="0"/>
        <v>67</v>
      </c>
      <c r="H6" s="3">
        <f t="shared" ca="1" si="0"/>
        <v>81</v>
      </c>
      <c r="I6" s="3">
        <f t="shared" ca="1" si="0"/>
        <v>42</v>
      </c>
      <c r="J6" s="3">
        <f t="shared" ca="1" si="2"/>
        <v>304</v>
      </c>
      <c r="K6" s="3">
        <f t="shared" ca="1" si="3"/>
        <v>60.8</v>
      </c>
      <c r="L6" s="3" t="str">
        <f t="shared" ca="1" si="4"/>
        <v>Pass</v>
      </c>
      <c r="M6" s="3"/>
      <c r="N6" s="3"/>
      <c r="O6" s="3"/>
      <c r="P6" s="3"/>
      <c r="Q6" s="3"/>
    </row>
    <row r="7" spans="1:17">
      <c r="A7" s="3">
        <v>5</v>
      </c>
      <c r="B7" t="s">
        <v>22</v>
      </c>
      <c r="C7" s="3" t="s">
        <v>23</v>
      </c>
      <c r="D7" t="s">
        <v>21</v>
      </c>
      <c r="E7" s="3">
        <f t="shared" ca="1" si="1"/>
        <v>97</v>
      </c>
      <c r="F7" s="3">
        <f t="shared" ca="1" si="0"/>
        <v>39</v>
      </c>
      <c r="G7" s="3">
        <f t="shared" ca="1" si="0"/>
        <v>70</v>
      </c>
      <c r="H7" s="3">
        <f t="shared" ca="1" si="0"/>
        <v>13</v>
      </c>
      <c r="I7" s="3">
        <f t="shared" ca="1" si="0"/>
        <v>43</v>
      </c>
      <c r="J7" s="3">
        <f t="shared" ca="1" si="2"/>
        <v>262</v>
      </c>
      <c r="K7" s="3">
        <f t="shared" ca="1" si="3"/>
        <v>52.4</v>
      </c>
      <c r="L7" s="3" t="str">
        <f t="shared" ca="1" si="4"/>
        <v>Pass</v>
      </c>
      <c r="M7" s="3"/>
      <c r="N7" s="3"/>
      <c r="O7" s="3"/>
      <c r="P7" s="3"/>
      <c r="Q7" s="3"/>
    </row>
    <row r="8" spans="1:17">
      <c r="A8" s="3">
        <v>6</v>
      </c>
      <c r="B8" t="s">
        <v>24</v>
      </c>
      <c r="C8" s="3" t="s">
        <v>25</v>
      </c>
      <c r="D8" t="s">
        <v>21</v>
      </c>
      <c r="E8" s="3">
        <f t="shared" ca="1" si="1"/>
        <v>35</v>
      </c>
      <c r="F8" s="3">
        <f t="shared" ca="1" si="0"/>
        <v>52</v>
      </c>
      <c r="G8" s="3">
        <f t="shared" ca="1" si="0"/>
        <v>95</v>
      </c>
      <c r="H8" s="3">
        <f t="shared" ca="1" si="0"/>
        <v>43</v>
      </c>
      <c r="I8" s="3">
        <f t="shared" ca="1" si="0"/>
        <v>58</v>
      </c>
      <c r="J8" s="3">
        <f t="shared" ca="1" si="2"/>
        <v>283</v>
      </c>
      <c r="K8" s="3">
        <f t="shared" ca="1" si="3"/>
        <v>56.6</v>
      </c>
      <c r="L8" s="3" t="str">
        <f t="shared" ca="1" si="4"/>
        <v>Pass</v>
      </c>
      <c r="M8" s="3"/>
      <c r="N8" s="3"/>
      <c r="O8" s="3"/>
      <c r="P8" s="3"/>
      <c r="Q8" s="3"/>
    </row>
    <row r="9" spans="1:17">
      <c r="A9" s="3">
        <v>7</v>
      </c>
      <c r="B9" t="s">
        <v>26</v>
      </c>
      <c r="C9" s="3" t="s">
        <v>27</v>
      </c>
      <c r="D9" t="s">
        <v>21</v>
      </c>
      <c r="E9" s="3">
        <f t="shared" ca="1" si="1"/>
        <v>79</v>
      </c>
      <c r="F9" s="3">
        <f t="shared" ca="1" si="0"/>
        <v>95</v>
      </c>
      <c r="G9" s="3">
        <f t="shared" ca="1" si="0"/>
        <v>81</v>
      </c>
      <c r="H9" s="3">
        <f t="shared" ca="1" si="0"/>
        <v>31</v>
      </c>
      <c r="I9" s="3">
        <f t="shared" ca="1" si="0"/>
        <v>23</v>
      </c>
      <c r="J9" s="3">
        <f t="shared" ca="1" si="2"/>
        <v>309</v>
      </c>
      <c r="K9" s="3">
        <f t="shared" ca="1" si="3"/>
        <v>61.8</v>
      </c>
      <c r="L9" s="3" t="str">
        <f t="shared" ca="1" si="4"/>
        <v>Pass</v>
      </c>
      <c r="M9" s="3"/>
      <c r="N9" s="3"/>
      <c r="O9" s="3"/>
      <c r="P9" s="3"/>
      <c r="Q9" s="3"/>
    </row>
    <row r="10" spans="1:17">
      <c r="A10" s="3">
        <v>8</v>
      </c>
      <c r="B10" t="s">
        <v>28</v>
      </c>
      <c r="C10" s="3" t="s">
        <v>29</v>
      </c>
      <c r="D10" t="s">
        <v>14</v>
      </c>
      <c r="E10" s="3">
        <f t="shared" ca="1" si="1"/>
        <v>75</v>
      </c>
      <c r="F10" s="3">
        <f t="shared" ca="1" si="0"/>
        <v>62</v>
      </c>
      <c r="G10" s="3">
        <f t="shared" ca="1" si="0"/>
        <v>53</v>
      </c>
      <c r="H10" s="3">
        <f t="shared" ca="1" si="0"/>
        <v>72</v>
      </c>
      <c r="I10" s="3">
        <f t="shared" ca="1" si="0"/>
        <v>77</v>
      </c>
      <c r="J10" s="3">
        <f t="shared" ca="1" si="2"/>
        <v>339</v>
      </c>
      <c r="K10" s="3">
        <f t="shared" ca="1" si="3"/>
        <v>67.8</v>
      </c>
      <c r="L10" s="3" t="str">
        <f t="shared" ca="1" si="4"/>
        <v>Pass</v>
      </c>
      <c r="M10" s="3"/>
      <c r="N10" s="3"/>
      <c r="O10" s="3"/>
      <c r="P10" s="3"/>
      <c r="Q10" s="3"/>
    </row>
    <row r="11" spans="1:17">
      <c r="A11" s="3">
        <v>9</v>
      </c>
      <c r="B11" t="s">
        <v>30</v>
      </c>
      <c r="C11" s="3" t="s">
        <v>31</v>
      </c>
      <c r="D11" t="s">
        <v>14</v>
      </c>
      <c r="E11" s="3">
        <f t="shared" ca="1" si="1"/>
        <v>94</v>
      </c>
      <c r="F11" s="3">
        <f t="shared" ca="1" si="0"/>
        <v>73</v>
      </c>
      <c r="G11" s="3">
        <f t="shared" ca="1" si="0"/>
        <v>22</v>
      </c>
      <c r="H11" s="3">
        <f t="shared" ca="1" si="0"/>
        <v>91</v>
      </c>
      <c r="I11" s="3">
        <f t="shared" ca="1" si="0"/>
        <v>24</v>
      </c>
      <c r="J11" s="3">
        <f t="shared" ca="1" si="2"/>
        <v>304</v>
      </c>
      <c r="K11" s="3">
        <f t="shared" ca="1" si="3"/>
        <v>60.8</v>
      </c>
      <c r="L11" s="3" t="str">
        <f t="shared" ca="1" si="4"/>
        <v>Pass</v>
      </c>
      <c r="M11" s="3"/>
      <c r="N11" s="3"/>
      <c r="O11" s="3"/>
      <c r="P11" s="3"/>
      <c r="Q11" s="3"/>
    </row>
    <row r="12" spans="1:17">
      <c r="A12" s="3">
        <v>10</v>
      </c>
      <c r="B12" t="s">
        <v>32</v>
      </c>
      <c r="C12" s="3" t="s">
        <v>33</v>
      </c>
      <c r="D12" t="s">
        <v>21</v>
      </c>
      <c r="E12" s="3">
        <f t="shared" ca="1" si="1"/>
        <v>15</v>
      </c>
      <c r="F12" s="3">
        <f t="shared" ca="1" si="0"/>
        <v>38</v>
      </c>
      <c r="G12" s="3">
        <f t="shared" ca="1" si="0"/>
        <v>26</v>
      </c>
      <c r="H12" s="3">
        <f t="shared" ca="1" si="0"/>
        <v>49</v>
      </c>
      <c r="I12" s="3">
        <f t="shared" ca="1" si="0"/>
        <v>65</v>
      </c>
      <c r="J12" s="3">
        <f t="shared" ca="1" si="2"/>
        <v>193</v>
      </c>
      <c r="K12" s="3">
        <f t="shared" ca="1" si="3"/>
        <v>38.6</v>
      </c>
      <c r="L12" s="3" t="str">
        <f t="shared" ca="1" si="4"/>
        <v>Fail</v>
      </c>
      <c r="M12" s="3"/>
      <c r="N12" s="3"/>
      <c r="O12" s="3"/>
      <c r="P12" s="3"/>
      <c r="Q12" s="3"/>
    </row>
    <row r="13" spans="1:17">
      <c r="A13" s="3">
        <v>11</v>
      </c>
      <c r="B13" t="s">
        <v>34</v>
      </c>
      <c r="C13" s="3" t="s">
        <v>35</v>
      </c>
      <c r="D13" t="s">
        <v>21</v>
      </c>
      <c r="E13" s="3">
        <f t="shared" ca="1" si="1"/>
        <v>71</v>
      </c>
      <c r="F13" s="3">
        <f t="shared" ca="1" si="0"/>
        <v>30</v>
      </c>
      <c r="G13" s="3">
        <f t="shared" ca="1" si="0"/>
        <v>11</v>
      </c>
      <c r="H13" s="3">
        <f t="shared" ca="1" si="0"/>
        <v>52</v>
      </c>
      <c r="I13" s="3">
        <f t="shared" ca="1" si="0"/>
        <v>62</v>
      </c>
      <c r="J13" s="3">
        <f t="shared" ca="1" si="2"/>
        <v>226</v>
      </c>
      <c r="K13" s="3">
        <f t="shared" ca="1" si="3"/>
        <v>45.2</v>
      </c>
      <c r="L13" s="3" t="str">
        <f t="shared" ca="1" si="4"/>
        <v>Pass</v>
      </c>
      <c r="M13" s="3"/>
      <c r="N13" s="3"/>
      <c r="O13" s="3"/>
      <c r="P13" s="3"/>
      <c r="Q13" s="3"/>
    </row>
    <row r="14" spans="1:17">
      <c r="A14" s="3">
        <v>12</v>
      </c>
      <c r="B14" t="s">
        <v>36</v>
      </c>
      <c r="C14" s="3" t="s">
        <v>37</v>
      </c>
      <c r="D14" t="s">
        <v>14</v>
      </c>
      <c r="E14" s="3">
        <f t="shared" ca="1" si="1"/>
        <v>35</v>
      </c>
      <c r="F14" s="3">
        <f t="shared" ca="1" si="0"/>
        <v>23</v>
      </c>
      <c r="G14" s="3">
        <f t="shared" ca="1" si="0"/>
        <v>39</v>
      </c>
      <c r="H14" s="3">
        <f t="shared" ca="1" si="0"/>
        <v>58</v>
      </c>
      <c r="I14" s="3">
        <f t="shared" ca="1" si="0"/>
        <v>38</v>
      </c>
      <c r="J14" s="3">
        <f t="shared" ca="1" si="2"/>
        <v>193</v>
      </c>
      <c r="K14" s="3">
        <f t="shared" ca="1" si="3"/>
        <v>38.6</v>
      </c>
      <c r="L14" s="3" t="str">
        <f t="shared" ca="1" si="4"/>
        <v>Fail</v>
      </c>
      <c r="M14" s="3"/>
      <c r="N14" s="3"/>
      <c r="O14" s="3"/>
      <c r="P14" s="3"/>
      <c r="Q14" s="3"/>
    </row>
    <row r="15" spans="1:17">
      <c r="A15" s="3">
        <v>13</v>
      </c>
      <c r="B15" t="s">
        <v>38</v>
      </c>
      <c r="C15" s="3" t="s">
        <v>39</v>
      </c>
      <c r="D15" t="s">
        <v>14</v>
      </c>
      <c r="E15" s="3">
        <f t="shared" ca="1" si="1"/>
        <v>32</v>
      </c>
      <c r="F15" s="3">
        <f t="shared" ca="1" si="0"/>
        <v>42</v>
      </c>
      <c r="G15" s="3">
        <f t="shared" ca="1" si="0"/>
        <v>39</v>
      </c>
      <c r="H15" s="3">
        <f t="shared" ca="1" si="0"/>
        <v>17</v>
      </c>
      <c r="I15" s="3">
        <f t="shared" ca="1" si="0"/>
        <v>23</v>
      </c>
      <c r="J15" s="3">
        <f t="shared" ca="1" si="2"/>
        <v>153</v>
      </c>
      <c r="K15" s="3">
        <f t="shared" ca="1" si="3"/>
        <v>30.6</v>
      </c>
      <c r="L15" s="3" t="str">
        <f t="shared" ca="1" si="4"/>
        <v>Fail</v>
      </c>
      <c r="M15" s="3"/>
      <c r="N15" s="3"/>
      <c r="O15" s="3"/>
      <c r="P15" s="3"/>
      <c r="Q15" s="3"/>
    </row>
  </sheetData>
  <conditionalFormatting sqref="E3:I15">
    <cfRule type="cellIs" dxfId="1" priority="5" stopIfTrue="1" operator="lessThan">
      <formula>66</formula>
    </cfRule>
  </conditionalFormatting>
  <conditionalFormatting sqref="E3:I1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{72419841-3236-4FFB-A8D3-E6841586B9E8}</x14:id>
        </ext>
      </extLst>
    </cfRule>
  </conditionalFormatting>
  <conditionalFormatting sqref="E3:I15">
    <cfRule type="notContainsBlanks" dxfId="0" priority="2">
      <formula>LEN(TRIM(E3))&gt;0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419841-3236-4FFB-A8D3-E6841586B9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E3:I15</xm:sqref>
        </x14:conditionalFormatting>
        <x14:conditionalFormatting xmlns:xm="http://schemas.microsoft.com/office/excel/2006/main">
          <x14:cfRule type="iconSet" priority="3" id="{ABA5A649-733A-46EF-B500-AC023687C8B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E3:I15</xm:sqref>
        </x14:conditionalFormatting>
        <x14:conditionalFormatting xmlns:xm="http://schemas.microsoft.com/office/excel/2006/main">
          <x14:cfRule type="iconSet" priority="1" id="{8154B098-9A78-4A71-A89E-5298A1316C4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E3:I15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6081-0751-4EE2-8D57-17992BC9D438}">
  <dimension ref="A3:Q32"/>
  <sheetViews>
    <sheetView topLeftCell="K1" workbookViewId="0">
      <selection activeCell="O3" sqref="O3:Q32"/>
    </sheetView>
  </sheetViews>
  <sheetFormatPr defaultRowHeight="15"/>
  <cols>
    <col min="1" max="1" width="16.85546875" bestFit="1" customWidth="1"/>
    <col min="2" max="2" width="10.5703125" bestFit="1" customWidth="1"/>
    <col min="3" max="3" width="5.42578125" bestFit="1" customWidth="1"/>
    <col min="4" max="4" width="7.140625" bestFit="1" customWidth="1"/>
    <col min="5" max="5" width="16.85546875" bestFit="1" customWidth="1"/>
    <col min="6" max="10" width="12" bestFit="1" customWidth="1"/>
    <col min="11" max="11" width="12.140625" bestFit="1" customWidth="1"/>
    <col min="12" max="12" width="14.85546875" bestFit="1" customWidth="1"/>
    <col min="15" max="15" width="16.85546875" bestFit="1" customWidth="1"/>
    <col min="16" max="16" width="11.85546875" bestFit="1" customWidth="1"/>
    <col min="17" max="21" width="14.85546875" bestFit="1" customWidth="1"/>
  </cols>
  <sheetData>
    <row r="3" spans="1:17">
      <c r="A3" s="5" t="s">
        <v>1</v>
      </c>
      <c r="B3" s="5" t="s">
        <v>3</v>
      </c>
      <c r="E3" s="5" t="s">
        <v>1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O3" s="5" t="s">
        <v>1</v>
      </c>
      <c r="P3" s="5" t="s">
        <v>11</v>
      </c>
      <c r="Q3" t="s">
        <v>46</v>
      </c>
    </row>
    <row r="4" spans="1:17">
      <c r="A4" t="s">
        <v>30</v>
      </c>
      <c r="B4" t="s">
        <v>14</v>
      </c>
      <c r="E4" t="s">
        <v>30</v>
      </c>
      <c r="F4" s="6">
        <v>52</v>
      </c>
      <c r="G4" s="6">
        <v>23</v>
      </c>
      <c r="H4" s="6">
        <v>52</v>
      </c>
      <c r="I4" s="6">
        <v>82</v>
      </c>
      <c r="J4" s="6">
        <v>13</v>
      </c>
      <c r="K4" s="6">
        <v>222</v>
      </c>
      <c r="L4" s="6">
        <v>44.4</v>
      </c>
      <c r="O4" t="s">
        <v>30</v>
      </c>
      <c r="P4" t="s">
        <v>47</v>
      </c>
      <c r="Q4" s="6">
        <v>44.4</v>
      </c>
    </row>
    <row r="5" spans="1:17">
      <c r="A5" t="s">
        <v>48</v>
      </c>
      <c r="E5" t="s">
        <v>32</v>
      </c>
      <c r="F5" s="6">
        <v>53</v>
      </c>
      <c r="G5" s="6">
        <v>83</v>
      </c>
      <c r="H5" s="6">
        <v>40</v>
      </c>
      <c r="I5" s="6">
        <v>32</v>
      </c>
      <c r="J5" s="6">
        <v>54</v>
      </c>
      <c r="K5" s="6">
        <v>262</v>
      </c>
      <c r="L5" s="6">
        <v>52.4</v>
      </c>
      <c r="O5" t="s">
        <v>48</v>
      </c>
      <c r="Q5" s="6">
        <v>44.4</v>
      </c>
    </row>
    <row r="6" spans="1:17">
      <c r="A6" t="s">
        <v>32</v>
      </c>
      <c r="B6" t="s">
        <v>21</v>
      </c>
      <c r="E6" t="s">
        <v>38</v>
      </c>
      <c r="F6" s="6">
        <v>37</v>
      </c>
      <c r="G6" s="6">
        <v>66</v>
      </c>
      <c r="H6" s="6">
        <v>53</v>
      </c>
      <c r="I6" s="6">
        <v>69</v>
      </c>
      <c r="J6" s="6">
        <v>17</v>
      </c>
      <c r="K6" s="6">
        <v>242</v>
      </c>
      <c r="L6" s="6">
        <v>48.4</v>
      </c>
      <c r="O6" t="s">
        <v>32</v>
      </c>
      <c r="P6" t="s">
        <v>47</v>
      </c>
      <c r="Q6" s="6">
        <v>52.4</v>
      </c>
    </row>
    <row r="7" spans="1:17">
      <c r="A7" t="s">
        <v>49</v>
      </c>
      <c r="E7" t="s">
        <v>36</v>
      </c>
      <c r="F7" s="6">
        <v>73</v>
      </c>
      <c r="G7" s="6">
        <v>28</v>
      </c>
      <c r="H7" s="6">
        <v>52</v>
      </c>
      <c r="I7" s="6">
        <v>97</v>
      </c>
      <c r="J7" s="6">
        <v>66</v>
      </c>
      <c r="K7" s="6">
        <v>316</v>
      </c>
      <c r="L7" s="6">
        <v>63.2</v>
      </c>
      <c r="O7" t="s">
        <v>49</v>
      </c>
      <c r="Q7" s="6">
        <v>52.4</v>
      </c>
    </row>
    <row r="8" spans="1:17">
      <c r="A8" t="s">
        <v>38</v>
      </c>
      <c r="B8" t="s">
        <v>14</v>
      </c>
      <c r="E8" t="s">
        <v>19</v>
      </c>
      <c r="F8" s="6">
        <v>48</v>
      </c>
      <c r="G8" s="6">
        <v>55</v>
      </c>
      <c r="H8" s="6">
        <v>52</v>
      </c>
      <c r="I8" s="6">
        <v>93</v>
      </c>
      <c r="J8" s="6">
        <v>60</v>
      </c>
      <c r="K8" s="6">
        <v>308</v>
      </c>
      <c r="L8" s="6">
        <v>61.6</v>
      </c>
      <c r="O8" t="s">
        <v>38</v>
      </c>
      <c r="P8" t="s">
        <v>47</v>
      </c>
      <c r="Q8" s="6">
        <v>48.4</v>
      </c>
    </row>
    <row r="9" spans="1:17">
      <c r="A9" t="s">
        <v>50</v>
      </c>
      <c r="E9" t="s">
        <v>26</v>
      </c>
      <c r="F9" s="6">
        <v>34</v>
      </c>
      <c r="G9" s="6">
        <v>70</v>
      </c>
      <c r="H9" s="6">
        <v>89</v>
      </c>
      <c r="I9" s="6">
        <v>21</v>
      </c>
      <c r="J9" s="6">
        <v>27</v>
      </c>
      <c r="K9" s="6">
        <v>241</v>
      </c>
      <c r="L9" s="6">
        <v>48.2</v>
      </c>
      <c r="O9" t="s">
        <v>50</v>
      </c>
      <c r="Q9" s="6">
        <v>48.4</v>
      </c>
    </row>
    <row r="10" spans="1:17">
      <c r="A10" t="s">
        <v>36</v>
      </c>
      <c r="B10" t="s">
        <v>14</v>
      </c>
      <c r="E10" t="s">
        <v>17</v>
      </c>
      <c r="F10" s="6">
        <v>23</v>
      </c>
      <c r="G10" s="6">
        <v>31</v>
      </c>
      <c r="H10" s="6">
        <v>81</v>
      </c>
      <c r="I10" s="6">
        <v>18</v>
      </c>
      <c r="J10" s="6">
        <v>71</v>
      </c>
      <c r="K10" s="6">
        <v>224</v>
      </c>
      <c r="L10" s="6">
        <v>44.8</v>
      </c>
      <c r="O10" t="s">
        <v>36</v>
      </c>
      <c r="P10" t="s">
        <v>47</v>
      </c>
      <c r="Q10" s="6">
        <v>63.2</v>
      </c>
    </row>
    <row r="11" spans="1:17">
      <c r="A11" t="s">
        <v>51</v>
      </c>
      <c r="E11" t="s">
        <v>28</v>
      </c>
      <c r="F11" s="6">
        <v>24</v>
      </c>
      <c r="G11" s="6">
        <v>76</v>
      </c>
      <c r="H11" s="6">
        <v>10</v>
      </c>
      <c r="I11" s="6">
        <v>12</v>
      </c>
      <c r="J11" s="6">
        <v>55</v>
      </c>
      <c r="K11" s="6">
        <v>177</v>
      </c>
      <c r="L11" s="6">
        <v>35.4</v>
      </c>
      <c r="O11" t="s">
        <v>51</v>
      </c>
      <c r="Q11" s="6">
        <v>63.2</v>
      </c>
    </row>
    <row r="12" spans="1:17">
      <c r="A12" t="s">
        <v>19</v>
      </c>
      <c r="B12" t="s">
        <v>21</v>
      </c>
      <c r="E12" t="s">
        <v>24</v>
      </c>
      <c r="F12" s="6">
        <v>59</v>
      </c>
      <c r="G12" s="6">
        <v>21</v>
      </c>
      <c r="H12" s="6">
        <v>50</v>
      </c>
      <c r="I12" s="6">
        <v>32</v>
      </c>
      <c r="J12" s="6">
        <v>44</v>
      </c>
      <c r="K12" s="6">
        <v>206</v>
      </c>
      <c r="L12" s="6">
        <v>41.2</v>
      </c>
      <c r="O12" t="s">
        <v>19</v>
      </c>
      <c r="P12" t="s">
        <v>47</v>
      </c>
      <c r="Q12" s="6">
        <v>61.6</v>
      </c>
    </row>
    <row r="13" spans="1:17">
      <c r="A13" t="s">
        <v>52</v>
      </c>
      <c r="E13" t="s">
        <v>22</v>
      </c>
      <c r="F13" s="6">
        <v>78</v>
      </c>
      <c r="G13" s="6">
        <v>98</v>
      </c>
      <c r="H13" s="6">
        <v>71</v>
      </c>
      <c r="I13" s="6">
        <v>20</v>
      </c>
      <c r="J13" s="6">
        <v>84</v>
      </c>
      <c r="K13" s="6">
        <v>351</v>
      </c>
      <c r="L13" s="6">
        <v>70.2</v>
      </c>
      <c r="O13" t="s">
        <v>52</v>
      </c>
      <c r="Q13" s="6">
        <v>61.6</v>
      </c>
    </row>
    <row r="14" spans="1:17">
      <c r="A14" t="s">
        <v>26</v>
      </c>
      <c r="B14" t="s">
        <v>21</v>
      </c>
      <c r="E14" t="s">
        <v>15</v>
      </c>
      <c r="F14" s="6">
        <v>51</v>
      </c>
      <c r="G14" s="6">
        <v>84</v>
      </c>
      <c r="H14" s="6">
        <v>53</v>
      </c>
      <c r="I14" s="6">
        <v>50</v>
      </c>
      <c r="J14" s="6">
        <v>18</v>
      </c>
      <c r="K14" s="6">
        <v>256</v>
      </c>
      <c r="L14" s="6">
        <v>51.2</v>
      </c>
      <c r="O14" t="s">
        <v>26</v>
      </c>
      <c r="P14" t="s">
        <v>47</v>
      </c>
      <c r="Q14" s="6">
        <v>48.2</v>
      </c>
    </row>
    <row r="15" spans="1:17">
      <c r="A15" t="s">
        <v>53</v>
      </c>
      <c r="E15" t="s">
        <v>34</v>
      </c>
      <c r="F15" s="6">
        <v>42</v>
      </c>
      <c r="G15" s="6">
        <v>95</v>
      </c>
      <c r="H15" s="6">
        <v>81</v>
      </c>
      <c r="I15" s="6">
        <v>62</v>
      </c>
      <c r="J15" s="6">
        <v>16</v>
      </c>
      <c r="K15" s="6">
        <v>296</v>
      </c>
      <c r="L15" s="6">
        <v>59.2</v>
      </c>
      <c r="O15" t="s">
        <v>53</v>
      </c>
      <c r="Q15" s="6">
        <v>48.2</v>
      </c>
    </row>
    <row r="16" spans="1:17">
      <c r="A16" t="s">
        <v>17</v>
      </c>
      <c r="B16" t="s">
        <v>14</v>
      </c>
      <c r="E16" t="s">
        <v>12</v>
      </c>
      <c r="F16" s="6">
        <v>56</v>
      </c>
      <c r="G16" s="6">
        <v>95</v>
      </c>
      <c r="H16" s="6">
        <v>10</v>
      </c>
      <c r="I16" s="6">
        <v>19</v>
      </c>
      <c r="J16" s="6">
        <v>23</v>
      </c>
      <c r="K16" s="6">
        <v>203</v>
      </c>
      <c r="L16" s="6">
        <v>40.6</v>
      </c>
      <c r="O16" t="s">
        <v>17</v>
      </c>
      <c r="P16" t="s">
        <v>47</v>
      </c>
      <c r="Q16" s="6">
        <v>44.8</v>
      </c>
    </row>
    <row r="17" spans="1:17">
      <c r="A17" t="s">
        <v>54</v>
      </c>
      <c r="E17" t="s">
        <v>55</v>
      </c>
      <c r="F17" s="6"/>
      <c r="G17" s="6"/>
      <c r="H17" s="6"/>
      <c r="I17" s="6"/>
      <c r="J17" s="6"/>
      <c r="K17" s="6"/>
      <c r="L17" s="6"/>
      <c r="O17" t="s">
        <v>54</v>
      </c>
      <c r="Q17" s="6">
        <v>44.8</v>
      </c>
    </row>
    <row r="18" spans="1:17">
      <c r="A18" t="s">
        <v>28</v>
      </c>
      <c r="B18" t="s">
        <v>14</v>
      </c>
      <c r="E18" t="s">
        <v>56</v>
      </c>
      <c r="F18" s="6">
        <v>630</v>
      </c>
      <c r="G18" s="6">
        <v>825</v>
      </c>
      <c r="H18" s="6">
        <v>694</v>
      </c>
      <c r="I18" s="6">
        <v>607</v>
      </c>
      <c r="J18" s="6">
        <v>548</v>
      </c>
      <c r="K18" s="6">
        <v>3304</v>
      </c>
      <c r="L18" s="6">
        <v>660.80000000000007</v>
      </c>
      <c r="O18" t="s">
        <v>28</v>
      </c>
      <c r="P18" t="s">
        <v>57</v>
      </c>
      <c r="Q18" s="6">
        <v>35.4</v>
      </c>
    </row>
    <row r="19" spans="1:17">
      <c r="A19" t="s">
        <v>58</v>
      </c>
      <c r="O19" t="s">
        <v>58</v>
      </c>
      <c r="Q19" s="6">
        <v>35.4</v>
      </c>
    </row>
    <row r="20" spans="1:17">
      <c r="A20" t="s">
        <v>24</v>
      </c>
      <c r="B20" t="s">
        <v>21</v>
      </c>
      <c r="O20" t="s">
        <v>24</v>
      </c>
      <c r="P20" t="s">
        <v>47</v>
      </c>
      <c r="Q20" s="6">
        <v>41.2</v>
      </c>
    </row>
    <row r="21" spans="1:17">
      <c r="A21" t="s">
        <v>59</v>
      </c>
      <c r="O21" t="s">
        <v>59</v>
      </c>
      <c r="Q21" s="6">
        <v>41.2</v>
      </c>
    </row>
    <row r="22" spans="1:17">
      <c r="A22" t="s">
        <v>22</v>
      </c>
      <c r="B22" t="s">
        <v>21</v>
      </c>
      <c r="O22" t="s">
        <v>22</v>
      </c>
      <c r="P22" t="s">
        <v>47</v>
      </c>
      <c r="Q22" s="6">
        <v>70.2</v>
      </c>
    </row>
    <row r="23" spans="1:17">
      <c r="A23" t="s">
        <v>60</v>
      </c>
      <c r="O23" t="s">
        <v>60</v>
      </c>
      <c r="Q23" s="6">
        <v>70.2</v>
      </c>
    </row>
    <row r="24" spans="1:17">
      <c r="A24" t="s">
        <v>15</v>
      </c>
      <c r="B24" t="s">
        <v>14</v>
      </c>
      <c r="O24" t="s">
        <v>15</v>
      </c>
      <c r="P24" t="s">
        <v>47</v>
      </c>
      <c r="Q24" s="6">
        <v>51.2</v>
      </c>
    </row>
    <row r="25" spans="1:17">
      <c r="A25" t="s">
        <v>61</v>
      </c>
      <c r="O25" t="s">
        <v>61</v>
      </c>
      <c r="Q25" s="6">
        <v>51.2</v>
      </c>
    </row>
    <row r="26" spans="1:17">
      <c r="A26" t="s">
        <v>34</v>
      </c>
      <c r="B26" t="s">
        <v>21</v>
      </c>
      <c r="O26" t="s">
        <v>34</v>
      </c>
      <c r="P26" t="s">
        <v>47</v>
      </c>
      <c r="Q26" s="6">
        <v>59.2</v>
      </c>
    </row>
    <row r="27" spans="1:17">
      <c r="A27" t="s">
        <v>62</v>
      </c>
      <c r="O27" t="s">
        <v>62</v>
      </c>
      <c r="Q27" s="6">
        <v>59.2</v>
      </c>
    </row>
    <row r="28" spans="1:17">
      <c r="A28" t="s">
        <v>12</v>
      </c>
      <c r="B28" t="s">
        <v>14</v>
      </c>
      <c r="O28" t="s">
        <v>12</v>
      </c>
      <c r="P28" t="s">
        <v>47</v>
      </c>
      <c r="Q28" s="6">
        <v>40.6</v>
      </c>
    </row>
    <row r="29" spans="1:17">
      <c r="A29" t="s">
        <v>63</v>
      </c>
      <c r="O29" t="s">
        <v>63</v>
      </c>
      <c r="Q29" s="6">
        <v>40.6</v>
      </c>
    </row>
    <row r="30" spans="1:17">
      <c r="A30" t="s">
        <v>55</v>
      </c>
      <c r="B30" t="s">
        <v>55</v>
      </c>
      <c r="O30" t="s">
        <v>55</v>
      </c>
      <c r="P30" t="s">
        <v>55</v>
      </c>
      <c r="Q30" s="6"/>
    </row>
    <row r="31" spans="1:17">
      <c r="A31" t="s">
        <v>64</v>
      </c>
      <c r="O31" t="s">
        <v>64</v>
      </c>
      <c r="Q31" s="6"/>
    </row>
    <row r="32" spans="1:17">
      <c r="A32" t="s">
        <v>56</v>
      </c>
      <c r="O32" t="s">
        <v>56</v>
      </c>
      <c r="Q32" s="6">
        <v>660.80000000000007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0204-C4FA-4F43-BEB9-263331C76056}">
  <dimension ref="A1"/>
  <sheetViews>
    <sheetView tabSelected="1" topLeftCell="A2" workbookViewId="0">
      <selection activeCell="J12" sqref="J1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2026-06-04T16:30:22Z</dcterms:created>
  <dcterms:modified xsi:type="dcterms:W3CDTF">2026-06-07T03:00:15Z</dcterms:modified>
  <cp:category/>
  <cp:contentStatus/>
</cp:coreProperties>
</file>