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576D3296-1683-4725-A210-39BC12359F7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3" r:id="rId2"/>
    <sheet name="Sheet3" sheetId="4" r:id="rId3"/>
    <sheet name="Source Data" sheetId="5" r:id="rId4"/>
    <sheet name="Pivot Table" sheetId="6" r:id="rId5"/>
    <sheet name="Dashboard" sheetId="7" r:id="rId6"/>
  </sheets>
  <definedNames>
    <definedName name="_xlnm._FilterDatabase" localSheetId="1" hidden="1">Sheet2!$A$1:$F$12</definedName>
    <definedName name="Category">'Pivot Table'!$K$5:$K$5</definedName>
    <definedName name="City">'Pivot Table'!$B$5:$B$5</definedName>
    <definedName name="Date">'Pivot Table'!$N$6:$N$6</definedName>
    <definedName name="Product">'Pivot Table'!$E$5:$E$5</definedName>
    <definedName name="SalesRep">'Pivot Table'!$H$5:$H$5</definedName>
  </definedNames>
  <calcPr calcId="191028"/>
  <pivotCaches>
    <pivotCache cacheId="63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F2" i="1"/>
  <c r="I3" i="1"/>
  <c r="I4" i="1"/>
  <c r="I5" i="1"/>
  <c r="I6" i="1"/>
  <c r="H2" i="1"/>
  <c r="I2" i="1" s="1"/>
  <c r="G3" i="1"/>
  <c r="G4" i="1"/>
  <c r="G5" i="1"/>
  <c r="G6" i="1"/>
  <c r="G2" i="1"/>
  <c r="F3" i="1"/>
  <c r="F4" i="1"/>
  <c r="F5" i="1"/>
  <c r="F6" i="1"/>
</calcChain>
</file>

<file path=xl/sharedStrings.xml><?xml version="1.0" encoding="utf-8"?>
<sst xmlns="http://schemas.openxmlformats.org/spreadsheetml/2006/main" count="193" uniqueCount="81">
  <si>
    <t>SrNo.</t>
  </si>
  <si>
    <t>Name Of Students</t>
  </si>
  <si>
    <t>Sub1</t>
  </si>
  <si>
    <t>Sub2</t>
  </si>
  <si>
    <t>Sub3</t>
  </si>
  <si>
    <t>Total</t>
  </si>
  <si>
    <t>Result</t>
  </si>
  <si>
    <t>%Avg</t>
  </si>
  <si>
    <t>Grade</t>
  </si>
  <si>
    <t>Anshul</t>
  </si>
  <si>
    <t>Yuvraj</t>
  </si>
  <si>
    <t>Paras</t>
  </si>
  <si>
    <t>Rahul</t>
  </si>
  <si>
    <t xml:space="preserve">Lavkesh </t>
  </si>
  <si>
    <t>Student Name</t>
  </si>
  <si>
    <t>Father's Name</t>
  </si>
  <si>
    <t>Roll. No.</t>
  </si>
  <si>
    <t>City</t>
  </si>
  <si>
    <t>Gender</t>
  </si>
  <si>
    <t xml:space="preserve">AJAY </t>
  </si>
  <si>
    <t>A</t>
  </si>
  <si>
    <t>DAMOH</t>
  </si>
  <si>
    <t>MALE</t>
  </si>
  <si>
    <t>GITA</t>
  </si>
  <si>
    <t>K</t>
  </si>
  <si>
    <t>DELHI</t>
  </si>
  <si>
    <t>FEMALE</t>
  </si>
  <si>
    <t>HEMA</t>
  </si>
  <si>
    <t>I</t>
  </si>
  <si>
    <t>JAI</t>
  </si>
  <si>
    <t>C</t>
  </si>
  <si>
    <t>REWA</t>
  </si>
  <si>
    <t>MOHINI</t>
  </si>
  <si>
    <t>G</t>
  </si>
  <si>
    <t>JABALPUR</t>
  </si>
  <si>
    <t xml:space="preserve">NEHA </t>
  </si>
  <si>
    <t>H</t>
  </si>
  <si>
    <t>SAGAR</t>
  </si>
  <si>
    <t>OM</t>
  </si>
  <si>
    <t>F</t>
  </si>
  <si>
    <t>KATNI</t>
  </si>
  <si>
    <t>RAHGHAV</t>
  </si>
  <si>
    <t>D</t>
  </si>
  <si>
    <t>PANNA</t>
  </si>
  <si>
    <t>VAIBHAV</t>
  </si>
  <si>
    <t>E</t>
  </si>
  <si>
    <t>VIJAY</t>
  </si>
  <si>
    <t>B</t>
  </si>
  <si>
    <t>YAMINI</t>
  </si>
  <si>
    <t>J</t>
  </si>
  <si>
    <t>BILASPUR</t>
  </si>
  <si>
    <t>Contact No</t>
  </si>
  <si>
    <t>Date</t>
  </si>
  <si>
    <t>Product</t>
  </si>
  <si>
    <t>Category</t>
  </si>
  <si>
    <t>Sales Rep</t>
  </si>
  <si>
    <t>No. of Units</t>
  </si>
  <si>
    <t>Price</t>
  </si>
  <si>
    <t>Amount</t>
  </si>
  <si>
    <t>Dell xps 30</t>
  </si>
  <si>
    <t>Laptop</t>
  </si>
  <si>
    <t>Harsh</t>
  </si>
  <si>
    <t>Banglore</t>
  </si>
  <si>
    <t>OnePlus Buds</t>
  </si>
  <si>
    <t>Headphone</t>
  </si>
  <si>
    <t>Tara</t>
  </si>
  <si>
    <t>Mumbai</t>
  </si>
  <si>
    <t>HP probook</t>
  </si>
  <si>
    <t>Asif</t>
  </si>
  <si>
    <t>Delhi</t>
  </si>
  <si>
    <t>Vivo 139</t>
  </si>
  <si>
    <t>Phone</t>
  </si>
  <si>
    <t>Kanha</t>
  </si>
  <si>
    <t>Pune</t>
  </si>
  <si>
    <t>Apple Buds</t>
  </si>
  <si>
    <t>Poco 78</t>
  </si>
  <si>
    <t>Lenova 12</t>
  </si>
  <si>
    <t>Dell YT 78</t>
  </si>
  <si>
    <t>Narzo N65</t>
  </si>
  <si>
    <t>Sum of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</si>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</sst>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11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Table'!$A$4:$A$8</c:f>
              <c:strCache>
                <c:ptCount val="4"/>
                <c:pt idx="0">
                  <c:v>Banglore</c:v>
                </c:pt>
                <c:pt idx="1">
                  <c:v>Delhi</c:v>
                </c:pt>
                <c:pt idx="2">
                  <c:v>Mumbai</c:v>
                </c:pt>
                <c:pt idx="3">
                  <c:v>Pune</c:v>
                </c:pt>
              </c:strCache>
            </c:strRef>
          </c:cat>
          <c:val>
            <c:numRef>
              <c:f>'Pivot Table'!$B$4:$B$8</c:f>
              <c:numCache>
                <c:formatCode>#,##0</c:formatCode>
                <c:ptCount val="4"/>
                <c:pt idx="0">
                  <c:v>225969</c:v>
                </c:pt>
                <c:pt idx="1">
                  <c:v>90341</c:v>
                </c:pt>
                <c:pt idx="2">
                  <c:v>84425</c:v>
                </c:pt>
                <c:pt idx="3">
                  <c:v>10103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6C-43F0-AD57-F44FFA837C9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61275911"/>
        <c:axId val="361277959"/>
      </c:lineChart>
      <c:catAx>
        <c:axId val="361275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277959"/>
        <c:crosses val="autoZero"/>
        <c:auto val="1"/>
        <c:lblAlgn val="ctr"/>
        <c:lblOffset val="100"/>
        <c:noMultiLvlLbl val="0"/>
      </c:catAx>
      <c:valAx>
        <c:axId val="361277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275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Table'!$D$4:$D$13</c:f>
              <c:strCache>
                <c:ptCount val="9"/>
                <c:pt idx="0">
                  <c:v>Apple Buds</c:v>
                </c:pt>
                <c:pt idx="1">
                  <c:v>Dell xps 30</c:v>
                </c:pt>
                <c:pt idx="2">
                  <c:v>Dell YT 78</c:v>
                </c:pt>
                <c:pt idx="3">
                  <c:v>HP probook</c:v>
                </c:pt>
                <c:pt idx="4">
                  <c:v>Lenova 12</c:v>
                </c:pt>
                <c:pt idx="5">
                  <c:v>Narzo N65</c:v>
                </c:pt>
                <c:pt idx="6">
                  <c:v>OnePlus Buds</c:v>
                </c:pt>
                <c:pt idx="7">
                  <c:v>Poco 78</c:v>
                </c:pt>
                <c:pt idx="8">
                  <c:v>Vivo 139</c:v>
                </c:pt>
              </c:strCache>
            </c:strRef>
          </c:cat>
          <c:val>
            <c:numRef>
              <c:f>'Pivot Table'!$E$4:$E$13</c:f>
              <c:numCache>
                <c:formatCode>General</c:formatCode>
                <c:ptCount val="9"/>
                <c:pt idx="0">
                  <c:v>983</c:v>
                </c:pt>
                <c:pt idx="1">
                  <c:v>209390</c:v>
                </c:pt>
                <c:pt idx="2">
                  <c:v>710</c:v>
                </c:pt>
                <c:pt idx="3">
                  <c:v>89358</c:v>
                </c:pt>
                <c:pt idx="4">
                  <c:v>76151</c:v>
                </c:pt>
                <c:pt idx="5">
                  <c:v>7652</c:v>
                </c:pt>
                <c:pt idx="6">
                  <c:v>8274</c:v>
                </c:pt>
                <c:pt idx="7">
                  <c:v>8927</c:v>
                </c:pt>
                <c:pt idx="8">
                  <c:v>9393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2-4F09-9068-218F2C30A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6228616"/>
        <c:axId val="1796230664"/>
      </c:barChart>
      <c:catAx>
        <c:axId val="1796228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230664"/>
        <c:crosses val="autoZero"/>
        <c:auto val="1"/>
        <c:lblAlgn val="ctr"/>
        <c:lblOffset val="100"/>
        <c:noMultiLvlLbl val="0"/>
      </c:catAx>
      <c:valAx>
        <c:axId val="1796230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228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Salesrep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Table'!$G$4:$G$8</c:f>
              <c:strCache>
                <c:ptCount val="4"/>
                <c:pt idx="0">
                  <c:v>Asif</c:v>
                </c:pt>
                <c:pt idx="1">
                  <c:v>Harsh</c:v>
                </c:pt>
                <c:pt idx="2">
                  <c:v>Kanha</c:v>
                </c:pt>
                <c:pt idx="3">
                  <c:v>Tara</c:v>
                </c:pt>
              </c:strCache>
            </c:strRef>
          </c:cat>
          <c:val>
            <c:numRef>
              <c:f>'Pivot Table'!$H$4:$H$8</c:f>
              <c:numCache>
                <c:formatCode>General</c:formatCode>
                <c:ptCount val="4"/>
                <c:pt idx="0">
                  <c:v>105937</c:v>
                </c:pt>
                <c:pt idx="1">
                  <c:v>211083</c:v>
                </c:pt>
                <c:pt idx="2">
                  <c:v>9393</c:v>
                </c:pt>
                <c:pt idx="3">
                  <c:v>84425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A-4BFC-B96E-FB94F1CAA0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37481223"/>
        <c:axId val="537483271"/>
      </c:barChart>
      <c:catAx>
        <c:axId val="537481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483271"/>
        <c:crosses val="autoZero"/>
        <c:auto val="1"/>
        <c:lblAlgn val="ctr"/>
        <c:lblOffset val="100"/>
        <c:noMultiLvlLbl val="0"/>
      </c:catAx>
      <c:valAx>
        <c:axId val="537483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481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[Sales.xlsx]Pivot Table!PivotTable4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17-4D4E-8EC4-F3F2538535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17-4D4E-8EC4-F3F2538535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17-4D4E-8EC4-F3F2538535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Table'!$J$4:$J$7</c:f>
              <c:strCache>
                <c:ptCount val="3"/>
                <c:pt idx="0">
                  <c:v>Headphone</c:v>
                </c:pt>
                <c:pt idx="1">
                  <c:v>Laptop</c:v>
                </c:pt>
                <c:pt idx="2">
                  <c:v>Phone</c:v>
                </c:pt>
              </c:strCache>
            </c:strRef>
          </c:cat>
          <c:val>
            <c:numRef>
              <c:f>'Pivot Table'!$K$4:$K$7</c:f>
              <c:numCache>
                <c:formatCode>General</c:formatCode>
                <c:ptCount val="3"/>
                <c:pt idx="0">
                  <c:v>9257</c:v>
                </c:pt>
                <c:pt idx="1">
                  <c:v>375609</c:v>
                </c:pt>
                <c:pt idx="2">
                  <c:v>25972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17-4D4E-8EC4-F3F2538535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[Sales.xlsx]Pivot Table!PivotTable5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Date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Table'!$M$4:$M$13</c:f>
              <c:strCache>
                <c:ptCount val="9"/>
                <c:pt idx="0">
                  <c:v>7/1/2009</c:v>
                </c:pt>
                <c:pt idx="1">
                  <c:v>7/2/2009</c:v>
                </c:pt>
                <c:pt idx="2">
                  <c:v>7/3/2009</c:v>
                </c:pt>
                <c:pt idx="3">
                  <c:v>7/4/2009</c:v>
                </c:pt>
                <c:pt idx="4">
                  <c:v>7/5/2009</c:v>
                </c:pt>
                <c:pt idx="5">
                  <c:v>7/6/2009</c:v>
                </c:pt>
                <c:pt idx="6">
                  <c:v>7/7/2009</c:v>
                </c:pt>
                <c:pt idx="7">
                  <c:v>7/8/2009</c:v>
                </c:pt>
                <c:pt idx="8">
                  <c:v>7/9/2009</c:v>
                </c:pt>
              </c:strCache>
            </c:strRef>
          </c:cat>
          <c:val>
            <c:numRef>
              <c:f>'Pivot Table'!$N$4:$N$13</c:f>
              <c:numCache>
                <c:formatCode>General</c:formatCode>
                <c:ptCount val="9"/>
                <c:pt idx="0">
                  <c:v>209390</c:v>
                </c:pt>
                <c:pt idx="1">
                  <c:v>8274</c:v>
                </c:pt>
                <c:pt idx="2">
                  <c:v>89358</c:v>
                </c:pt>
                <c:pt idx="3">
                  <c:v>9393</c:v>
                </c:pt>
                <c:pt idx="4">
                  <c:v>983</c:v>
                </c:pt>
                <c:pt idx="5">
                  <c:v>8927</c:v>
                </c:pt>
                <c:pt idx="6">
                  <c:v>76151</c:v>
                </c:pt>
                <c:pt idx="7">
                  <c:v>710</c:v>
                </c:pt>
                <c:pt idx="8">
                  <c:v>7652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2-4AB0-B3BC-AE0B5E5A05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34218247"/>
        <c:axId val="707864071"/>
      </c:barChart>
      <c:catAx>
        <c:axId val="1334218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864071"/>
        <c:crosses val="autoZero"/>
        <c:auto val="1"/>
        <c:lblAlgn val="ctr"/>
        <c:lblOffset val="100"/>
        <c:noMultiLvlLbl val="0"/>
      </c:catAx>
      <c:valAx>
        <c:axId val="707864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218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3</xdr:row>
      <xdr:rowOff>171450</xdr:rowOff>
    </xdr:from>
    <xdr:to>
      <xdr:col>8</xdr:col>
      <xdr:colOff>390525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E2B961-FA9B-4364-BDB5-9CE9EA3D0D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533400</xdr:colOff>
      <xdr:row>4</xdr:row>
      <xdr:rowOff>0</xdr:rowOff>
    </xdr:from>
    <xdr:to>
      <xdr:col>18</xdr:col>
      <xdr:colOff>228600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005479-6401-4E9D-82BF-04A86EB5EE35}"/>
            </a:ext>
            <a:ext uri="{147F2762-F138-4A5C-976F-8EAC2B608ADB}">
              <a16:predDERef xmlns:a16="http://schemas.microsoft.com/office/drawing/2014/main" pred="{96E2B961-FA9B-4364-BDB5-9CE9EA3D0D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28575</xdr:colOff>
      <xdr:row>4</xdr:row>
      <xdr:rowOff>47625</xdr:rowOff>
    </xdr:from>
    <xdr:to>
      <xdr:col>28</xdr:col>
      <xdr:colOff>333375</xdr:colOff>
      <xdr:row>18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6B8914-B988-4249-84B8-B24A07252647}"/>
            </a:ext>
            <a:ext uri="{147F2762-F138-4A5C-976F-8EAC2B608ADB}">
              <a16:predDERef xmlns:a16="http://schemas.microsoft.com/office/drawing/2014/main" pred="{3A005479-6401-4E9D-82BF-04A86EB5E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600075</xdr:colOff>
      <xdr:row>3</xdr:row>
      <xdr:rowOff>152400</xdr:rowOff>
    </xdr:from>
    <xdr:to>
      <xdr:col>38</xdr:col>
      <xdr:colOff>295275</xdr:colOff>
      <xdr:row>18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F72065-8DA8-4A43-A191-A320FB162FE3}"/>
            </a:ext>
            <a:ext uri="{147F2762-F138-4A5C-976F-8EAC2B608ADB}">
              <a16:predDERef xmlns:a16="http://schemas.microsoft.com/office/drawing/2014/main" pred="{246B8914-B988-4249-84B8-B24A072526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581025</xdr:colOff>
      <xdr:row>3</xdr:row>
      <xdr:rowOff>171450</xdr:rowOff>
    </xdr:from>
    <xdr:to>
      <xdr:col>48</xdr:col>
      <xdr:colOff>276225</xdr:colOff>
      <xdr:row>18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4F7C3B9-3CA1-4A4E-9B2A-FC12012366C0}"/>
            </a:ext>
            <a:ext uri="{147F2762-F138-4A5C-976F-8EAC2B608ADB}">
              <a16:predDERef xmlns:a16="http://schemas.microsoft.com/office/drawing/2014/main" pred="{18F72065-8DA8-4A43-A191-A320FB162F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7.886103703706" createdVersion="8" refreshedVersion="8" minRefreshableVersion="3" recordCount="9" xr:uid="{64C6BD43-709D-4803-BB9D-0DE0853F143E}">
  <cacheSource type="worksheet">
    <worksheetSource ref="A1:H10" sheet="Source Data"/>
  </cacheSource>
  <cacheFields count="8">
    <cacheField name="Date" numFmtId="14">
      <sharedItems containsSemiMixedTypes="0" containsNonDate="0" containsDate="1" containsString="0" minDate="2009-07-01T00:00:00" maxDate="2009-07-10T00:00:00" count="9"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</sharedItems>
    </cacheField>
    <cacheField name="Product" numFmtId="0">
      <sharedItems count="9">
        <s v="Dell xps 30"/>
        <s v="OnePlus Buds"/>
        <s v="HP probook"/>
        <s v="Vivo 139"/>
        <s v="Apple Buds"/>
        <s v="Poco 78"/>
        <s v="Lenova 12"/>
        <s v="Dell YT 78"/>
        <s v="Narzo N65"/>
      </sharedItems>
    </cacheField>
    <cacheField name="Category" numFmtId="0">
      <sharedItems count="3">
        <s v="Laptop"/>
        <s v="Headphone"/>
        <s v="Phone"/>
      </sharedItems>
    </cacheField>
    <cacheField name="Sales Rep" numFmtId="0">
      <sharedItems count="4">
        <s v="Harsh"/>
        <s v="Tara"/>
        <s v="Asif"/>
        <s v="Kanha"/>
      </sharedItems>
    </cacheField>
    <cacheField name="City" numFmtId="0">
      <sharedItems count="4">
        <s v="Banglore"/>
        <s v="Mumbai"/>
        <s v="Delhi"/>
        <s v="Pune"/>
      </sharedItems>
    </cacheField>
    <cacheField name="No. of Units" numFmtId="0">
      <sharedItems containsSemiMixedTypes="0" containsString="0" containsNumber="1" containsInteger="1" minValue="1" maxValue="9"/>
    </cacheField>
    <cacheField name="Price" numFmtId="0">
      <sharedItems containsSemiMixedTypes="0" containsString="0" containsNumber="1" containsInteger="1" minValue="653" maxValue="83823"/>
    </cacheField>
    <cacheField name="Amount" numFmtId="0">
      <sharedItems containsSemiMixedTypes="0" containsString="0" containsNumber="1" containsInteger="1" minValue="710" maxValue="2093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x v="0"/>
    <x v="0"/>
    <n v="8"/>
    <n v="76000"/>
    <n v="209390"/>
  </r>
  <r>
    <x v="1"/>
    <x v="1"/>
    <x v="1"/>
    <x v="1"/>
    <x v="1"/>
    <n v="3"/>
    <n v="783"/>
    <n v="8274"/>
  </r>
  <r>
    <x v="2"/>
    <x v="2"/>
    <x v="0"/>
    <x v="2"/>
    <x v="2"/>
    <n v="9"/>
    <n v="9847"/>
    <n v="89358"/>
  </r>
  <r>
    <x v="3"/>
    <x v="3"/>
    <x v="2"/>
    <x v="3"/>
    <x v="3"/>
    <n v="6"/>
    <n v="83823"/>
    <n v="9393"/>
  </r>
  <r>
    <x v="4"/>
    <x v="4"/>
    <x v="1"/>
    <x v="0"/>
    <x v="2"/>
    <n v="4"/>
    <n v="2874"/>
    <n v="983"/>
  </r>
  <r>
    <x v="5"/>
    <x v="5"/>
    <x v="2"/>
    <x v="2"/>
    <x v="0"/>
    <n v="2"/>
    <n v="872"/>
    <n v="8927"/>
  </r>
  <r>
    <x v="6"/>
    <x v="6"/>
    <x v="0"/>
    <x v="1"/>
    <x v="1"/>
    <n v="5"/>
    <n v="653"/>
    <n v="76151"/>
  </r>
  <r>
    <x v="7"/>
    <x v="7"/>
    <x v="0"/>
    <x v="0"/>
    <x v="3"/>
    <n v="1"/>
    <n v="26532"/>
    <n v="710"/>
  </r>
  <r>
    <x v="8"/>
    <x v="8"/>
    <x v="2"/>
    <x v="2"/>
    <x v="0"/>
    <n v="7"/>
    <n v="672"/>
    <n v="76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01069-1193-4BAF-A187-A2D8DBADC9A1}" name="PivotTable4" cacheId="6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J3:K7" firstHeaderRow="1" firstDataRow="1" firstDataCol="1"/>
  <pivotFields count="8">
    <pivotField compact="0" numFmtId="14" outline="0" showAll="0"/>
    <pivotField compact="0" outline="0" showAll="0">
      <items count="10">
        <item x="4"/>
        <item x="0"/>
        <item x="7"/>
        <item x="2"/>
        <item x="6"/>
        <item x="8"/>
        <item x="1"/>
        <item x="5"/>
        <item x="3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compact="0" outline="0" showAll="0">
      <items count="5">
        <item x="2"/>
        <item x="0"/>
        <item x="3"/>
        <item x="1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7" baseField="0" baseItem="0"/>
  </dataFields>
  <chartFormats count="2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92D2C-2BBF-4428-AB73-076258E4B78E}" name="PivotTable3" cacheId="6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G3:H8" firstHeaderRow="1" firstDataRow="1" firstDataCol="1"/>
  <pivotFields count="8">
    <pivotField compact="0" numFmtId="14" outline="0" showAll="0"/>
    <pivotField compact="0" outline="0" showAll="0">
      <items count="10">
        <item x="4"/>
        <item x="0"/>
        <item x="7"/>
        <item x="2"/>
        <item x="6"/>
        <item x="8"/>
        <item x="1"/>
        <item x="5"/>
        <item x="3"/>
        <item t="default"/>
      </items>
    </pivotField>
    <pivotField compact="0" outline="0" showAll="0"/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7" baseField="0" baseItem="0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B5810-FBB4-4AEC-AEEF-E3492129BDC2}" name="PivotTable2" cacheId="6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3:E13" firstHeaderRow="1" firstDataRow="1" firstDataCol="1"/>
  <pivotFields count="8">
    <pivotField compact="0" numFmtId="14" outline="0" showAll="0"/>
    <pivotField axis="axisRow" compact="0" outline="0" showAll="0">
      <items count="10">
        <item x="4"/>
        <item x="0"/>
        <item x="7"/>
        <item x="2"/>
        <item x="6"/>
        <item x="8"/>
        <item x="1"/>
        <item x="5"/>
        <item x="3"/>
        <item t="default"/>
      </items>
    </pivotField>
    <pivotField compact="0" outline="0" showAll="0"/>
    <pivotField compact="0" outline="0" showAll="0"/>
    <pivotField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mount" fld="7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2C051-A939-496D-8AA5-31E0A9CD04C8}" name="PivotTable1" cacheId="6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8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7" baseField="0" baseItem="0"/>
  </dataFields>
  <formats count="4">
    <format dxfId="7">
      <pivotArea outline="0" fieldPosition="0">
        <references count="1">
          <reference field="4" count="1" selected="0">
            <x v="1"/>
          </reference>
        </references>
      </pivotArea>
    </format>
    <format dxfId="8">
      <pivotArea outline="0" fieldPosition="0">
        <references count="1">
          <reference field="4" count="1" selected="0">
            <x v="0"/>
          </reference>
        </references>
      </pivotArea>
    </format>
    <format dxfId="9">
      <pivotArea outline="0" fieldPosition="0">
        <references count="1">
          <reference field="4" count="1" selected="0">
            <x v="2"/>
          </reference>
        </references>
      </pivotArea>
    </format>
    <format dxfId="10">
      <pivotArea outline="0" fieldPosition="0">
        <references count="1">
          <reference field="4" count="1" selected="0">
            <x v="3"/>
          </reference>
        </references>
      </pivotArea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191C1-7777-4474-AC86-1C2102588596}" name="PivotTable5" cacheId="6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M3:N13" firstHeaderRow="1" firstDataRow="1" firstDataCol="1"/>
  <pivotFields count="8">
    <pivotField axis="axisRow" compact="0" numFmtId="14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>
      <items count="10">
        <item x="4"/>
        <item x="0"/>
        <item x="7"/>
        <item x="2"/>
        <item x="6"/>
        <item x="8"/>
        <item x="1"/>
        <item x="5"/>
        <item x="3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>
      <items count="5">
        <item x="2"/>
        <item x="0"/>
        <item x="3"/>
        <item x="1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mount" fld="7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C2" sqref="C2:F6"/>
    </sheetView>
  </sheetViews>
  <sheetFormatPr defaultRowHeight="15"/>
  <cols>
    <col min="1" max="1" width="5.7109375" bestFit="1" customWidth="1"/>
    <col min="2" max="2" width="18" customWidth="1"/>
    <col min="3" max="3" width="6.140625" customWidth="1"/>
    <col min="4" max="4" width="6.5703125" customWidth="1"/>
    <col min="5" max="5" width="6.42578125" customWidth="1"/>
    <col min="6" max="6" width="7.42578125" customWidth="1"/>
    <col min="7" max="7" width="7.5703125" customWidth="1"/>
    <col min="8" max="8" width="6.85546875" customWidth="1"/>
    <col min="9" max="9" width="10.5703125" customWidth="1"/>
    <col min="10" max="10" width="7.140625" customWidth="1"/>
  </cols>
  <sheetData>
    <row r="1" spans="1:9" ht="18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8" customHeight="1">
      <c r="A2" s="6">
        <v>1</v>
      </c>
      <c r="B2" t="s">
        <v>9</v>
      </c>
      <c r="C2" s="6">
        <v>41</v>
      </c>
      <c r="D2" s="6">
        <v>75</v>
      </c>
      <c r="E2" s="6">
        <v>40</v>
      </c>
      <c r="F2" s="7">
        <f>SUM(C2:E2)</f>
        <v>156</v>
      </c>
      <c r="G2" s="7" t="str">
        <f>IF(AND(C2&gt;=35,D2&gt;=35,E2&gt;=35),"Pass","Fail")</f>
        <v>Pass</v>
      </c>
      <c r="H2" s="2">
        <f>SUM(C2:E2)/3</f>
        <v>52</v>
      </c>
      <c r="I2" s="3" t="str">
        <f>IF(H2&gt;=90,"A++",IF(H2&gt;=75,"A+",IF(H2&gt;=60,"A",IF(H2&gt;=45,"B",IF(H2&gt;=35,"C","Fail")))))</f>
        <v>B</v>
      </c>
    </row>
    <row r="3" spans="1:9" ht="16.5" customHeight="1">
      <c r="A3" s="6">
        <v>2</v>
      </c>
      <c r="B3" t="s">
        <v>10</v>
      </c>
      <c r="C3" s="6">
        <v>55</v>
      </c>
      <c r="D3" s="6">
        <v>53</v>
      </c>
      <c r="E3" s="6">
        <v>77</v>
      </c>
      <c r="F3" s="7">
        <f t="shared" ref="F3:F6" si="0">SUM(C3:E3)</f>
        <v>185</v>
      </c>
      <c r="G3" s="7" t="str">
        <f t="shared" ref="G3:G6" si="1">IF(AND(C3&gt;=35,D3&gt;=35,E3&gt;=35),"Pass","Fail")</f>
        <v>Pass</v>
      </c>
      <c r="H3" s="2">
        <f t="shared" ref="H3:H6" si="2">SUM(C3:E3)/3</f>
        <v>61.666666666666664</v>
      </c>
      <c r="I3" s="3" t="str">
        <f t="shared" ref="I3:I6" si="3">IF(H3&gt;=90,"A++",IF(H3&gt;=75,"A+",IF(H3&gt;=60,"A",IF(H3&gt;=45,"B",IF(H3&gt;=35,"C","Fail")))))</f>
        <v>A</v>
      </c>
    </row>
    <row r="4" spans="1:9">
      <c r="A4" s="6">
        <v>3</v>
      </c>
      <c r="B4" t="s">
        <v>11</v>
      </c>
      <c r="C4" s="6">
        <v>92</v>
      </c>
      <c r="D4" s="6">
        <v>84</v>
      </c>
      <c r="E4" s="6">
        <v>34</v>
      </c>
      <c r="F4" s="7">
        <f t="shared" si="0"/>
        <v>210</v>
      </c>
      <c r="G4" s="7" t="str">
        <f t="shared" si="1"/>
        <v>Fail</v>
      </c>
      <c r="H4" s="2">
        <f t="shared" si="2"/>
        <v>70</v>
      </c>
      <c r="I4" s="3" t="str">
        <f t="shared" si="3"/>
        <v>A</v>
      </c>
    </row>
    <row r="5" spans="1:9" ht="16.5" customHeight="1">
      <c r="A5" s="6">
        <v>4</v>
      </c>
      <c r="B5" t="s">
        <v>12</v>
      </c>
      <c r="C5" s="6">
        <v>50</v>
      </c>
      <c r="D5" s="6">
        <v>48</v>
      </c>
      <c r="E5" s="6">
        <v>36</v>
      </c>
      <c r="F5" s="7">
        <f t="shared" si="0"/>
        <v>134</v>
      </c>
      <c r="G5" s="7" t="str">
        <f t="shared" si="1"/>
        <v>Pass</v>
      </c>
      <c r="H5" s="2">
        <f t="shared" si="2"/>
        <v>44.666666666666664</v>
      </c>
      <c r="I5" s="3" t="str">
        <f t="shared" si="3"/>
        <v>C</v>
      </c>
    </row>
    <row r="6" spans="1:9">
      <c r="A6" s="6">
        <v>5</v>
      </c>
      <c r="B6" t="s">
        <v>13</v>
      </c>
      <c r="C6" s="6">
        <v>57</v>
      </c>
      <c r="D6" s="6">
        <v>81</v>
      </c>
      <c r="E6" s="6">
        <v>89</v>
      </c>
      <c r="F6" s="7">
        <f t="shared" si="0"/>
        <v>227</v>
      </c>
      <c r="G6" s="7" t="str">
        <f t="shared" si="1"/>
        <v>Pass</v>
      </c>
      <c r="H6" s="2">
        <f t="shared" si="2"/>
        <v>75.666666666666671</v>
      </c>
      <c r="I6" s="3" t="str">
        <f t="shared" si="3"/>
        <v>A+</v>
      </c>
    </row>
    <row r="7" spans="1:9">
      <c r="B7" s="1"/>
      <c r="G7" s="6"/>
      <c r="H7" s="6"/>
      <c r="I7" s="6"/>
    </row>
    <row r="8" spans="1:9">
      <c r="G8" s="6"/>
      <c r="H8" s="6"/>
    </row>
  </sheetData>
  <sortState xmlns:xlrd2="http://schemas.microsoft.com/office/spreadsheetml/2017/richdata2" ref="C4:D4">
    <sortCondition ref="C4"/>
  </sortState>
  <conditionalFormatting sqref="C3:F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{33612295-170A-444E-A566-D830D518A0AC}</x14:id>
        </ext>
      </extLst>
    </cfRule>
  </conditionalFormatting>
  <conditionalFormatting sqref="C3:F6">
    <cfRule type="dataBar" priority="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{37AC020C-392A-4748-8AF4-53BB2500DD33}</x14:id>
        </ext>
      </extLst>
    </cfRule>
  </conditionalFormatting>
  <conditionalFormatting sqref="C3:F6">
    <cfRule type="containsText" dxfId="6" priority="8" operator="containsText" text="an">
      <formula>NOT(ISERROR(SEARCH("an",C3)))</formula>
    </cfRule>
  </conditionalFormatting>
  <conditionalFormatting sqref="C3:F6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{3D75B7E9-68C1-4FDB-82EF-685527E7E26C}</x14:id>
        </ext>
      </extLst>
    </cfRule>
  </conditionalFormatting>
  <conditionalFormatting sqref="C3:F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{12E0075A-890A-45CC-95CA-FB01AE438C8D}</x14:id>
        </ext>
      </extLst>
    </cfRule>
  </conditionalFormatting>
  <conditionalFormatting sqref="C2:F6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C2:F6">
    <cfRule type="iconSet" priority="4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C2:F6">
    <cfRule type="iconSet" priority="3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C2:F6">
    <cfRule type="iconSet" priority="2">
      <iconSet iconSet="3TrafficLights2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612295-170A-444E-A566-D830D518A0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C3:F6</xm:sqref>
        </x14:conditionalFormatting>
        <x14:conditionalFormatting xmlns:xm="http://schemas.microsoft.com/office/excel/2006/main">
          <x14:cfRule type="dataBar" id="{37AC020C-392A-4748-8AF4-53BB2500DD3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C3:F6</xm:sqref>
        </x14:conditionalFormatting>
        <x14:conditionalFormatting xmlns:xm="http://schemas.microsoft.com/office/excel/2006/main">
          <x14:cfRule type="dataBar" id="{3D75B7E9-68C1-4FDB-82EF-685527E7E26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C3:F6</xm:sqref>
        </x14:conditionalFormatting>
        <x14:conditionalFormatting xmlns:xm="http://schemas.microsoft.com/office/excel/2006/main">
          <x14:cfRule type="dataBar" id="{12E0075A-890A-45CC-95CA-FB01AE438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C3:F6</xm:sqref>
        </x14:conditionalFormatting>
        <x14:conditionalFormatting xmlns:xm="http://schemas.microsoft.com/office/excel/2006/main">
          <x14:cfRule type="iconSet" priority="1" id="{950A2FA8-5F7B-4A56-8C6E-64DDAE6817B5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C2:F6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3D51-FF2A-4432-9C42-80A6A19DB993}">
  <dimension ref="A1:H14"/>
  <sheetViews>
    <sheetView workbookViewId="0">
      <selection sqref="A1:F1"/>
    </sheetView>
  </sheetViews>
  <sheetFormatPr defaultRowHeight="15"/>
  <cols>
    <col min="1" max="1" width="8.140625" customWidth="1"/>
    <col min="2" max="2" width="11.85546875" customWidth="1"/>
    <col min="3" max="3" width="15.5703125" customWidth="1"/>
    <col min="4" max="4" width="10.7109375" customWidth="1"/>
    <col min="5" max="5" width="9.7109375" bestFit="1" customWidth="1"/>
    <col min="6" max="6" width="13.42578125" customWidth="1"/>
  </cols>
  <sheetData>
    <row r="1" spans="1:8" ht="21.75" customHeight="1">
      <c r="B1" s="8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8" ht="24" customHeight="1">
      <c r="A2" s="4">
        <v>1</v>
      </c>
      <c r="B2" s="9" t="s">
        <v>19</v>
      </c>
      <c r="C2" s="4" t="s">
        <v>20</v>
      </c>
      <c r="D2" s="4">
        <v>2</v>
      </c>
      <c r="E2" t="s">
        <v>21</v>
      </c>
      <c r="F2" s="10" t="s">
        <v>22</v>
      </c>
      <c r="H2" s="5"/>
    </row>
    <row r="3" spans="1:8">
      <c r="A3" s="4">
        <v>11</v>
      </c>
      <c r="B3" t="s">
        <v>23</v>
      </c>
      <c r="C3" s="4" t="s">
        <v>24</v>
      </c>
      <c r="D3" s="4">
        <v>12</v>
      </c>
      <c r="E3" t="s">
        <v>25</v>
      </c>
      <c r="F3" s="10" t="s">
        <v>26</v>
      </c>
      <c r="H3" s="5"/>
    </row>
    <row r="4" spans="1:8">
      <c r="A4" s="4">
        <v>9</v>
      </c>
      <c r="B4" t="s">
        <v>27</v>
      </c>
      <c r="C4" s="4" t="s">
        <v>28</v>
      </c>
      <c r="D4" s="4">
        <v>10</v>
      </c>
      <c r="E4" t="s">
        <v>25</v>
      </c>
      <c r="F4" s="10" t="s">
        <v>26</v>
      </c>
      <c r="H4" s="5"/>
    </row>
    <row r="5" spans="1:8">
      <c r="A5" s="4">
        <v>3</v>
      </c>
      <c r="B5" t="s">
        <v>29</v>
      </c>
      <c r="C5" s="4" t="s">
        <v>30</v>
      </c>
      <c r="D5" s="4">
        <v>4</v>
      </c>
      <c r="E5" t="s">
        <v>31</v>
      </c>
      <c r="F5" s="10" t="s">
        <v>26</v>
      </c>
    </row>
    <row r="6" spans="1:8">
      <c r="A6" s="4">
        <v>7</v>
      </c>
      <c r="B6" t="s">
        <v>32</v>
      </c>
      <c r="C6" s="4" t="s">
        <v>33</v>
      </c>
      <c r="D6" s="4">
        <v>8</v>
      </c>
      <c r="E6" t="s">
        <v>34</v>
      </c>
      <c r="F6" s="10" t="s">
        <v>22</v>
      </c>
    </row>
    <row r="7" spans="1:8">
      <c r="A7" s="4">
        <v>8</v>
      </c>
      <c r="B7" t="s">
        <v>35</v>
      </c>
      <c r="C7" s="4" t="s">
        <v>36</v>
      </c>
      <c r="D7" s="4">
        <v>9</v>
      </c>
      <c r="E7" t="s">
        <v>37</v>
      </c>
      <c r="F7" s="10" t="s">
        <v>22</v>
      </c>
    </row>
    <row r="8" spans="1:8">
      <c r="A8" s="4">
        <v>6</v>
      </c>
      <c r="B8" t="s">
        <v>38</v>
      </c>
      <c r="C8" s="4" t="s">
        <v>39</v>
      </c>
      <c r="D8" s="4">
        <v>7</v>
      </c>
      <c r="E8" t="s">
        <v>40</v>
      </c>
      <c r="F8" s="10" t="s">
        <v>22</v>
      </c>
    </row>
    <row r="9" spans="1:8">
      <c r="A9" s="4">
        <v>4</v>
      </c>
      <c r="B9" t="s">
        <v>41</v>
      </c>
      <c r="C9" s="4" t="s">
        <v>42</v>
      </c>
      <c r="D9" s="4">
        <v>5</v>
      </c>
      <c r="E9" t="s">
        <v>43</v>
      </c>
      <c r="F9" s="10" t="s">
        <v>22</v>
      </c>
    </row>
    <row r="10" spans="1:8">
      <c r="A10" s="4">
        <v>5</v>
      </c>
      <c r="B10" t="s">
        <v>44</v>
      </c>
      <c r="C10" s="4" t="s">
        <v>45</v>
      </c>
      <c r="D10" s="4">
        <v>6</v>
      </c>
      <c r="E10" t="s">
        <v>34</v>
      </c>
      <c r="F10" s="10" t="s">
        <v>26</v>
      </c>
    </row>
    <row r="11" spans="1:8">
      <c r="A11" s="4">
        <v>2</v>
      </c>
      <c r="B11" t="s">
        <v>46</v>
      </c>
      <c r="C11" s="4" t="s">
        <v>47</v>
      </c>
      <c r="D11" s="4">
        <v>3</v>
      </c>
      <c r="E11" t="s">
        <v>37</v>
      </c>
      <c r="F11" s="10" t="s">
        <v>26</v>
      </c>
    </row>
    <row r="12" spans="1:8">
      <c r="A12" s="4">
        <v>10</v>
      </c>
      <c r="B12" t="s">
        <v>48</v>
      </c>
      <c r="C12" s="4" t="s">
        <v>49</v>
      </c>
      <c r="D12" s="4">
        <v>11</v>
      </c>
      <c r="E12" t="s">
        <v>50</v>
      </c>
      <c r="F12" s="10" t="s">
        <v>22</v>
      </c>
    </row>
    <row r="13" spans="1:8">
      <c r="A13" s="4"/>
      <c r="F13" s="10"/>
    </row>
    <row r="14" spans="1:8">
      <c r="A14" s="4"/>
    </row>
  </sheetData>
  <sortState xmlns:xlrd2="http://schemas.microsoft.com/office/spreadsheetml/2017/richdata2" ref="A2:F12">
    <sortCondition ref="B2:B12"/>
    <sortCondition ref="E2:E12"/>
    <sortCondition ref="F2:F12"/>
  </sortState>
  <conditionalFormatting sqref="E2:E12 F2:G2">
    <cfRule type="containsText" dxfId="5" priority="2" operator="containsText" text="SAGAR JABAPUR">
      <formula>NOT(ISERROR(SEARCH("SAGAR JABAPUR",E2)))</formula>
    </cfRule>
  </conditionalFormatting>
  <conditionalFormatting sqref="E1:E12">
    <cfRule type="containsText" dxfId="4" priority="1" operator="containsText" text="SAGAR">
      <formula>NOT(ISERROR(SEARCH("SAGAR",E1)))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A5E83-F79E-46B5-A852-D43D91FC9A80}">
  <dimension ref="A1:K12"/>
  <sheetViews>
    <sheetView workbookViewId="0">
      <selection activeCell="G4" sqref="G4"/>
    </sheetView>
  </sheetViews>
  <sheetFormatPr defaultRowHeight="15"/>
  <cols>
    <col min="1" max="1" width="7.7109375" customWidth="1"/>
    <col min="3" max="3" width="15.28515625" customWidth="1"/>
    <col min="4" max="4" width="13.85546875" customWidth="1"/>
    <col min="5" max="5" width="11.85546875" customWidth="1"/>
    <col min="6" max="6" width="9.28515625" customWidth="1"/>
    <col min="7" max="7" width="13.5703125" customWidth="1"/>
    <col min="11" max="11" width="34.42578125" bestFit="1" customWidth="1"/>
  </cols>
  <sheetData>
    <row r="1" spans="1:11" ht="27.75" customHeight="1">
      <c r="A1" t="s">
        <v>0</v>
      </c>
      <c r="B1" s="8" t="s">
        <v>14</v>
      </c>
      <c r="C1" t="s">
        <v>16</v>
      </c>
      <c r="D1" t="s">
        <v>15</v>
      </c>
      <c r="E1" t="s">
        <v>17</v>
      </c>
      <c r="F1" t="s">
        <v>18</v>
      </c>
      <c r="G1" s="4" t="s">
        <v>51</v>
      </c>
      <c r="K1" s="8"/>
    </row>
    <row r="2" spans="1:11" ht="24" customHeight="1">
      <c r="A2" s="4">
        <v>1</v>
      </c>
      <c r="B2" s="9" t="s">
        <v>19</v>
      </c>
      <c r="C2" s="4" t="s">
        <v>20</v>
      </c>
      <c r="D2" s="4">
        <v>2</v>
      </c>
      <c r="E2" t="s">
        <v>21</v>
      </c>
      <c r="F2" s="4" t="s">
        <v>22</v>
      </c>
      <c r="G2">
        <v>6260684869</v>
      </c>
    </row>
    <row r="3" spans="1:11">
      <c r="A3" s="4">
        <v>2</v>
      </c>
      <c r="B3" t="s">
        <v>46</v>
      </c>
      <c r="C3" s="4" t="s">
        <v>47</v>
      </c>
      <c r="D3" s="4">
        <v>3</v>
      </c>
      <c r="E3" t="s">
        <v>37</v>
      </c>
      <c r="F3" s="4" t="s">
        <v>26</v>
      </c>
    </row>
    <row r="4" spans="1:11">
      <c r="A4" s="4">
        <v>3</v>
      </c>
      <c r="B4" t="s">
        <v>29</v>
      </c>
      <c r="C4" s="4" t="s">
        <v>30</v>
      </c>
      <c r="D4" s="4">
        <v>4</v>
      </c>
      <c r="E4" t="s">
        <v>31</v>
      </c>
      <c r="F4" s="4" t="s">
        <v>26</v>
      </c>
    </row>
    <row r="5" spans="1:11">
      <c r="A5" s="4">
        <v>4</v>
      </c>
      <c r="B5" t="s">
        <v>41</v>
      </c>
      <c r="C5" s="4" t="s">
        <v>42</v>
      </c>
      <c r="D5" s="4">
        <v>5</v>
      </c>
      <c r="E5" t="s">
        <v>43</v>
      </c>
      <c r="F5" s="4" t="s">
        <v>22</v>
      </c>
    </row>
    <row r="6" spans="1:11">
      <c r="A6" s="4">
        <v>5</v>
      </c>
      <c r="B6" t="s">
        <v>44</v>
      </c>
      <c r="C6" s="4" t="s">
        <v>45</v>
      </c>
      <c r="D6" s="4">
        <v>6</v>
      </c>
      <c r="E6" t="s">
        <v>34</v>
      </c>
      <c r="F6" s="4" t="s">
        <v>26</v>
      </c>
    </row>
    <row r="7" spans="1:11">
      <c r="A7" s="4">
        <v>6</v>
      </c>
      <c r="B7" t="s">
        <v>38</v>
      </c>
      <c r="C7" s="4" t="s">
        <v>39</v>
      </c>
      <c r="D7" s="4">
        <v>7</v>
      </c>
      <c r="E7" t="s">
        <v>40</v>
      </c>
      <c r="F7" s="4" t="s">
        <v>22</v>
      </c>
    </row>
    <row r="8" spans="1:11">
      <c r="A8" s="4">
        <v>7</v>
      </c>
      <c r="B8" t="s">
        <v>32</v>
      </c>
      <c r="C8" s="4" t="s">
        <v>33</v>
      </c>
      <c r="D8" s="4">
        <v>8</v>
      </c>
      <c r="E8" t="s">
        <v>34</v>
      </c>
      <c r="F8" s="4" t="s">
        <v>22</v>
      </c>
    </row>
    <row r="9" spans="1:11">
      <c r="A9" s="4">
        <v>8</v>
      </c>
      <c r="B9" t="s">
        <v>35</v>
      </c>
      <c r="C9" s="4" t="s">
        <v>36</v>
      </c>
      <c r="D9" s="4">
        <v>9</v>
      </c>
      <c r="E9" t="s">
        <v>37</v>
      </c>
      <c r="F9" s="4" t="s">
        <v>22</v>
      </c>
    </row>
    <row r="10" spans="1:11">
      <c r="A10" s="4">
        <v>9</v>
      </c>
      <c r="B10" t="s">
        <v>27</v>
      </c>
      <c r="C10" s="4" t="s">
        <v>28</v>
      </c>
      <c r="D10" s="4">
        <v>10</v>
      </c>
      <c r="E10" t="s">
        <v>25</v>
      </c>
      <c r="F10" s="4" t="s">
        <v>26</v>
      </c>
      <c r="G10">
        <v>6777956534</v>
      </c>
    </row>
    <row r="11" spans="1:11">
      <c r="A11" s="4">
        <v>10</v>
      </c>
      <c r="B11" t="s">
        <v>48</v>
      </c>
      <c r="C11" s="4" t="s">
        <v>49</v>
      </c>
      <c r="D11" s="4">
        <v>11</v>
      </c>
      <c r="E11" t="s">
        <v>50</v>
      </c>
      <c r="F11" s="4" t="s">
        <v>22</v>
      </c>
    </row>
    <row r="12" spans="1:11">
      <c r="A12" s="4">
        <v>11</v>
      </c>
      <c r="B12" t="s">
        <v>23</v>
      </c>
      <c r="C12" s="4" t="s">
        <v>24</v>
      </c>
      <c r="D12" s="4">
        <v>12</v>
      </c>
      <c r="E12" t="s">
        <v>25</v>
      </c>
      <c r="F12" s="4" t="s">
        <v>26</v>
      </c>
      <c r="G12">
        <v>77228</v>
      </c>
    </row>
  </sheetData>
  <sortState xmlns:xlrd2="http://schemas.microsoft.com/office/spreadsheetml/2017/richdata2" ref="A2:G12">
    <sortCondition ref="A2:A12"/>
  </sortState>
  <conditionalFormatting sqref="E2:E12 F2">
    <cfRule type="containsText" dxfId="3" priority="4" operator="containsText" text="SAGAR JABAPUR">
      <formula>NOT(ISERROR(SEARCH("SAGAR JABAPUR",E2)))</formula>
    </cfRule>
  </conditionalFormatting>
  <conditionalFormatting sqref="E2:E12">
    <cfRule type="containsText" dxfId="2" priority="3" operator="containsText" text="SAGAR">
      <formula>NOT(ISERROR(SEARCH("SAGAR",E2)))</formula>
    </cfRule>
  </conditionalFormatting>
  <conditionalFormatting sqref="N1">
    <cfRule type="containsText" dxfId="1" priority="2" operator="containsText" text="SAGAR">
      <formula>NOT(ISERROR(SEARCH("SAGAR",N1)))</formula>
    </cfRule>
  </conditionalFormatting>
  <conditionalFormatting sqref="E1">
    <cfRule type="containsText" dxfId="0" priority="1" operator="containsText" text="SAGAR">
      <formula>NOT(ISERROR(SEARCH("SAGAR",E1)))</formula>
    </cfRule>
  </conditionalFormatting>
  <dataValidations count="2">
    <dataValidation type="list" allowBlank="1" showInputMessage="1" showErrorMessage="1" sqref="I2:I3 J3:J4" xr:uid="{77438654-C4A9-4082-B708-99EBD6B1DCAA}">
      <formula1>$F:$F</formula1>
    </dataValidation>
    <dataValidation type="textLength" allowBlank="1" showInputMessage="1" showErrorMessage="1" promptTitle="Enter mobile number " prompt="Only 10 digit number accepted" sqref="G1:G12" xr:uid="{8CCB5EAE-945E-4778-BAE3-28D3FDF14187}">
      <formula1>10</formula1>
      <formula2>10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225AB-54CD-43A5-82B4-637AA1CB71B0}">
  <dimension ref="A1:H18"/>
  <sheetViews>
    <sheetView workbookViewId="0"/>
  </sheetViews>
  <sheetFormatPr defaultRowHeight="15"/>
  <cols>
    <col min="1" max="1" width="13" customWidth="1"/>
    <col min="2" max="2" width="13.42578125" customWidth="1"/>
    <col min="3" max="3" width="11" bestFit="1" customWidth="1"/>
    <col min="4" max="4" width="10.7109375" customWidth="1"/>
    <col min="5" max="5" width="8.7109375" customWidth="1"/>
    <col min="6" max="6" width="11.42578125" bestFit="1" customWidth="1"/>
  </cols>
  <sheetData>
    <row r="1" spans="1:8" ht="23.25" customHeight="1">
      <c r="A1" s="11" t="s">
        <v>52</v>
      </c>
      <c r="B1" s="11" t="s">
        <v>53</v>
      </c>
      <c r="C1" s="11" t="s">
        <v>54</v>
      </c>
      <c r="D1" s="12" t="s">
        <v>55</v>
      </c>
      <c r="E1" s="11" t="s">
        <v>17</v>
      </c>
      <c r="F1" s="11" t="s">
        <v>56</v>
      </c>
      <c r="G1" s="12" t="s">
        <v>57</v>
      </c>
      <c r="H1" s="11" t="s">
        <v>58</v>
      </c>
    </row>
    <row r="2" spans="1:8" ht="27" customHeight="1">
      <c r="A2" s="14">
        <v>39995</v>
      </c>
      <c r="B2" t="s">
        <v>59</v>
      </c>
      <c r="C2" t="s">
        <v>60</v>
      </c>
      <c r="D2" t="s">
        <v>61</v>
      </c>
      <c r="E2" t="s">
        <v>62</v>
      </c>
      <c r="F2" s="4">
        <v>8</v>
      </c>
      <c r="G2" s="4">
        <v>76000</v>
      </c>
      <c r="H2" s="4">
        <v>209390</v>
      </c>
    </row>
    <row r="3" spans="1:8" ht="18" customHeight="1">
      <c r="A3" s="14">
        <v>39996</v>
      </c>
      <c r="B3" s="8" t="s">
        <v>63</v>
      </c>
      <c r="C3" t="s">
        <v>64</v>
      </c>
      <c r="D3" t="s">
        <v>65</v>
      </c>
      <c r="E3" t="s">
        <v>66</v>
      </c>
      <c r="F3" s="4">
        <v>3</v>
      </c>
      <c r="G3" s="4">
        <v>783</v>
      </c>
      <c r="H3" s="4">
        <v>8274</v>
      </c>
    </row>
    <row r="4" spans="1:8" ht="18" customHeight="1">
      <c r="A4" s="14">
        <v>39997</v>
      </c>
      <c r="B4" t="s">
        <v>67</v>
      </c>
      <c r="C4" t="s">
        <v>60</v>
      </c>
      <c r="D4" t="s">
        <v>68</v>
      </c>
      <c r="E4" s="8" t="s">
        <v>69</v>
      </c>
      <c r="F4" s="4">
        <v>9</v>
      </c>
      <c r="G4" s="4">
        <v>9847</v>
      </c>
      <c r="H4" s="4">
        <v>89358</v>
      </c>
    </row>
    <row r="5" spans="1:8">
      <c r="A5" s="14">
        <v>39998</v>
      </c>
      <c r="B5" t="s">
        <v>70</v>
      </c>
      <c r="C5" t="s">
        <v>71</v>
      </c>
      <c r="D5" t="s">
        <v>72</v>
      </c>
      <c r="E5" t="s">
        <v>73</v>
      </c>
      <c r="F5" s="4">
        <v>6</v>
      </c>
      <c r="G5" s="4">
        <v>83823</v>
      </c>
      <c r="H5" s="4">
        <v>9393</v>
      </c>
    </row>
    <row r="6" spans="1:8">
      <c r="A6" s="14">
        <v>39999</v>
      </c>
      <c r="B6" t="s">
        <v>74</v>
      </c>
      <c r="C6" t="s">
        <v>64</v>
      </c>
      <c r="D6" t="s">
        <v>61</v>
      </c>
      <c r="E6" t="s">
        <v>69</v>
      </c>
      <c r="F6" s="4">
        <v>4</v>
      </c>
      <c r="G6" s="4">
        <v>2874</v>
      </c>
      <c r="H6" s="4">
        <v>983</v>
      </c>
    </row>
    <row r="7" spans="1:8">
      <c r="A7" s="14">
        <v>40000</v>
      </c>
      <c r="B7" t="s">
        <v>75</v>
      </c>
      <c r="C7" t="s">
        <v>71</v>
      </c>
      <c r="D7" t="s">
        <v>68</v>
      </c>
      <c r="E7" t="s">
        <v>62</v>
      </c>
      <c r="F7" s="4">
        <v>2</v>
      </c>
      <c r="G7" s="4">
        <v>872</v>
      </c>
      <c r="H7" s="4">
        <v>8927</v>
      </c>
    </row>
    <row r="8" spans="1:8">
      <c r="A8" s="14">
        <v>40001</v>
      </c>
      <c r="B8" t="s">
        <v>76</v>
      </c>
      <c r="C8" t="s">
        <v>60</v>
      </c>
      <c r="D8" t="s">
        <v>65</v>
      </c>
      <c r="E8" t="s">
        <v>66</v>
      </c>
      <c r="F8" s="4">
        <v>5</v>
      </c>
      <c r="G8" s="4">
        <v>653</v>
      </c>
      <c r="H8" s="4">
        <v>76151</v>
      </c>
    </row>
    <row r="9" spans="1:8">
      <c r="A9" s="14">
        <v>40002</v>
      </c>
      <c r="B9" t="s">
        <v>77</v>
      </c>
      <c r="C9" t="s">
        <v>60</v>
      </c>
      <c r="D9" t="s">
        <v>61</v>
      </c>
      <c r="E9" t="s">
        <v>73</v>
      </c>
      <c r="F9" s="4">
        <v>1</v>
      </c>
      <c r="G9" s="4">
        <v>26532</v>
      </c>
      <c r="H9" s="4">
        <v>710</v>
      </c>
    </row>
    <row r="10" spans="1:8">
      <c r="A10" s="14">
        <v>40003</v>
      </c>
      <c r="B10" t="s">
        <v>78</v>
      </c>
      <c r="C10" t="s">
        <v>71</v>
      </c>
      <c r="D10" t="s">
        <v>68</v>
      </c>
      <c r="E10" t="s">
        <v>62</v>
      </c>
      <c r="F10" s="4">
        <v>7</v>
      </c>
      <c r="G10" s="4">
        <v>672</v>
      </c>
      <c r="H10" s="4">
        <v>7652</v>
      </c>
    </row>
    <row r="11" spans="1:8">
      <c r="A11" s="13"/>
    </row>
    <row r="12" spans="1:8">
      <c r="A12" s="13"/>
    </row>
    <row r="13" spans="1:8">
      <c r="A13" s="13"/>
    </row>
    <row r="14" spans="1:8">
      <c r="A14" s="13"/>
    </row>
    <row r="15" spans="1:8">
      <c r="A15" s="13"/>
    </row>
    <row r="16" spans="1:8">
      <c r="A16" s="13"/>
    </row>
    <row r="17" spans="1:1">
      <c r="A17" s="13"/>
    </row>
    <row r="18" spans="1:1">
      <c r="A18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E168-F3CB-4C8C-920E-C1F83C5D30D9}">
  <dimension ref="A3:N13"/>
  <sheetViews>
    <sheetView topLeftCell="G1" workbookViewId="0">
      <selection activeCell="N6" sqref="N6"/>
    </sheetView>
  </sheetViews>
  <sheetFormatPr defaultRowHeight="15"/>
  <cols>
    <col min="1" max="1" width="11.42578125" bestFit="1" customWidth="1"/>
    <col min="2" max="2" width="14.85546875" bestFit="1" customWidth="1"/>
    <col min="4" max="4" width="12.7109375" customWidth="1"/>
    <col min="5" max="5" width="14.85546875" customWidth="1"/>
    <col min="7" max="7" width="12.42578125" customWidth="1"/>
    <col min="8" max="8" width="14.85546875" customWidth="1"/>
    <col min="10" max="10" width="12" customWidth="1"/>
    <col min="11" max="11" width="14.85546875" customWidth="1"/>
    <col min="13" max="13" width="11.42578125" customWidth="1"/>
    <col min="14" max="14" width="14.85546875" customWidth="1"/>
  </cols>
  <sheetData>
    <row r="3" spans="1:14">
      <c r="A3" s="15" t="s">
        <v>17</v>
      </c>
      <c r="B3" t="s">
        <v>79</v>
      </c>
      <c r="D3" s="15" t="s">
        <v>53</v>
      </c>
      <c r="E3" t="s">
        <v>79</v>
      </c>
      <c r="G3" s="15" t="s">
        <v>55</v>
      </c>
      <c r="H3" t="s">
        <v>79</v>
      </c>
      <c r="J3" s="15" t="s">
        <v>54</v>
      </c>
      <c r="K3" t="s">
        <v>79</v>
      </c>
      <c r="M3" s="15" t="s">
        <v>52</v>
      </c>
      <c r="N3" t="s">
        <v>79</v>
      </c>
    </row>
    <row r="4" spans="1:14">
      <c r="A4" t="s">
        <v>62</v>
      </c>
      <c r="B4" s="17">
        <v>225969</v>
      </c>
      <c r="D4" t="s">
        <v>74</v>
      </c>
      <c r="E4" s="16">
        <v>983</v>
      </c>
      <c r="G4" t="s">
        <v>68</v>
      </c>
      <c r="H4" s="16">
        <v>105937</v>
      </c>
      <c r="J4" t="s">
        <v>64</v>
      </c>
      <c r="K4" s="16">
        <v>9257</v>
      </c>
      <c r="M4" s="13">
        <v>39995</v>
      </c>
      <c r="N4" s="16">
        <v>209390</v>
      </c>
    </row>
    <row r="5" spans="1:14">
      <c r="A5" t="s">
        <v>69</v>
      </c>
      <c r="B5" s="17">
        <v>90341</v>
      </c>
      <c r="D5" t="s">
        <v>59</v>
      </c>
      <c r="E5" s="16">
        <v>209390</v>
      </c>
      <c r="G5" t="s">
        <v>61</v>
      </c>
      <c r="H5" s="16">
        <v>211083</v>
      </c>
      <c r="J5" t="s">
        <v>60</v>
      </c>
      <c r="K5" s="16">
        <v>375609</v>
      </c>
      <c r="M5" s="13">
        <v>39996</v>
      </c>
      <c r="N5" s="16">
        <v>8274</v>
      </c>
    </row>
    <row r="6" spans="1:14">
      <c r="A6" t="s">
        <v>66</v>
      </c>
      <c r="B6" s="17">
        <v>84425</v>
      </c>
      <c r="D6" t="s">
        <v>77</v>
      </c>
      <c r="E6" s="16">
        <v>710</v>
      </c>
      <c r="G6" t="s">
        <v>72</v>
      </c>
      <c r="H6" s="16">
        <v>9393</v>
      </c>
      <c r="J6" t="s">
        <v>71</v>
      </c>
      <c r="K6" s="16">
        <v>25972</v>
      </c>
      <c r="M6" s="13">
        <v>39997</v>
      </c>
      <c r="N6" s="16">
        <v>89358</v>
      </c>
    </row>
    <row r="7" spans="1:14">
      <c r="A7" t="s">
        <v>73</v>
      </c>
      <c r="B7" s="17">
        <v>10103</v>
      </c>
      <c r="D7" t="s">
        <v>67</v>
      </c>
      <c r="E7" s="16">
        <v>89358</v>
      </c>
      <c r="G7" t="s">
        <v>65</v>
      </c>
      <c r="H7" s="16">
        <v>84425</v>
      </c>
      <c r="J7" t="s">
        <v>80</v>
      </c>
      <c r="K7" s="16">
        <v>410838</v>
      </c>
      <c r="M7" s="13">
        <v>39998</v>
      </c>
      <c r="N7" s="16">
        <v>9393</v>
      </c>
    </row>
    <row r="8" spans="1:14">
      <c r="A8" t="s">
        <v>80</v>
      </c>
      <c r="B8" s="16">
        <v>410838</v>
      </c>
      <c r="D8" t="s">
        <v>76</v>
      </c>
      <c r="E8" s="16">
        <v>76151</v>
      </c>
      <c r="G8" t="s">
        <v>80</v>
      </c>
      <c r="H8" s="16">
        <v>410838</v>
      </c>
      <c r="M8" s="13">
        <v>39999</v>
      </c>
      <c r="N8" s="16">
        <v>983</v>
      </c>
    </row>
    <row r="9" spans="1:14">
      <c r="D9" t="s">
        <v>78</v>
      </c>
      <c r="E9" s="16">
        <v>7652</v>
      </c>
      <c r="M9" s="13">
        <v>40000</v>
      </c>
      <c r="N9" s="16">
        <v>8927</v>
      </c>
    </row>
    <row r="10" spans="1:14">
      <c r="D10" t="s">
        <v>63</v>
      </c>
      <c r="E10" s="16">
        <v>8274</v>
      </c>
      <c r="M10" s="13">
        <v>40001</v>
      </c>
      <c r="N10" s="16">
        <v>76151</v>
      </c>
    </row>
    <row r="11" spans="1:14">
      <c r="D11" t="s">
        <v>75</v>
      </c>
      <c r="E11" s="16">
        <v>8927</v>
      </c>
      <c r="M11" s="13">
        <v>40002</v>
      </c>
      <c r="N11" s="16">
        <v>710</v>
      </c>
    </row>
    <row r="12" spans="1:14">
      <c r="D12" t="s">
        <v>70</v>
      </c>
      <c r="E12" s="16">
        <v>9393</v>
      </c>
      <c r="M12" s="13">
        <v>40003</v>
      </c>
      <c r="N12" s="16">
        <v>7652</v>
      </c>
    </row>
    <row r="13" spans="1:14">
      <c r="D13" t="s">
        <v>80</v>
      </c>
      <c r="E13" s="16">
        <v>410838</v>
      </c>
      <c r="M13" s="13" t="s">
        <v>80</v>
      </c>
      <c r="N13" s="16">
        <v>410838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4EB6-7C03-4335-B6AF-576E15FE1EFB}">
  <dimension ref="A1"/>
  <sheetViews>
    <sheetView workbookViewId="0">
      <selection activeCell="AR23" sqref="AR23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2026-05-25T15:15:54Z</dcterms:created>
  <dcterms:modified xsi:type="dcterms:W3CDTF">2026-06-07T02:56:18Z</dcterms:modified>
  <cp:category/>
  <cp:contentStatus/>
</cp:coreProperties>
</file>