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28"/>
  <workbookPr defaultThemeVersion="166925"/>
  <xr:revisionPtr revIDLastSave="0" documentId="8_{FC3A0395-9C4A-413E-B732-33C447523A8F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Source Data" sheetId="1" r:id="rId1"/>
    <sheet name="Pivot Table" sheetId="3" r:id="rId2"/>
    <sheet name="Dashboard" sheetId="2" r:id="rId3"/>
  </sheets>
  <calcPr calcId="191028"/>
  <pivotCaches>
    <pivotCache cacheId="188" r:id="rId4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" i="1" l="1"/>
  <c r="E4" i="1"/>
  <c r="E5" i="1"/>
  <c r="E6" i="1"/>
  <c r="E7" i="1"/>
  <c r="E8" i="1"/>
  <c r="E9" i="1"/>
  <c r="E10" i="1"/>
  <c r="E2" i="1"/>
</calcChain>
</file>

<file path=xl/sharedStrings.xml><?xml version="1.0" encoding="utf-8"?>
<sst xmlns="http://schemas.openxmlformats.org/spreadsheetml/2006/main" count="50" uniqueCount="18">
  <si>
    <t>Student Name</t>
  </si>
  <si>
    <t>Total Classes</t>
  </si>
  <si>
    <t>Present</t>
  </si>
  <si>
    <t>Absent</t>
  </si>
  <si>
    <t>Attendence %</t>
  </si>
  <si>
    <t>Harsh</t>
  </si>
  <si>
    <t>Shiwani</t>
  </si>
  <si>
    <t>Neha</t>
  </si>
  <si>
    <t>Ankit</t>
  </si>
  <si>
    <t>Jaish</t>
  </si>
  <si>
    <t>John</t>
  </si>
  <si>
    <t>Tara</t>
  </si>
  <si>
    <t xml:space="preserve">Rahul </t>
  </si>
  <si>
    <t>Sahil</t>
  </si>
  <si>
    <t>Sum of Present</t>
  </si>
  <si>
    <t>Sum of Absent</t>
  </si>
  <si>
    <t>Sum of Attendence %</t>
  </si>
  <si>
    <t>Grand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</si>
</sst>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1"/>
      <color rgb="FF000000"/>
      <name val="Calibri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2" fillId="0" borderId="0" xfId="0" applyFont="1"/>
    <xf numFmtId="2" fontId="0" fillId="0" borderId="0" xfId="0" applyNumberFormat="1"/>
    <xf numFmtId="0" fontId="1" fillId="2" borderId="0" xfId="0" applyFont="1" applyFill="1" applyAlignment="1">
      <alignment horizontal="center"/>
    </xf>
    <xf numFmtId="0" fontId="2" fillId="2" borderId="0" xfId="0" applyFont="1" applyFill="1" applyAlignment="1">
      <alignment horizontal="center"/>
    </xf>
    <xf numFmtId="0" fontId="0" fillId="3" borderId="0" xfId="0" applyFill="1" applyAlignment="1">
      <alignment horizontal="center"/>
    </xf>
    <xf numFmtId="2" fontId="0" fillId="3" borderId="0" xfId="0" applyNumberFormat="1" applyFill="1" applyAlignment="1">
      <alignment horizontal="center"/>
    </xf>
    <xf numFmtId="0" fontId="0" fillId="0" borderId="0" xfId="0" pivotButton="1"/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[Attendence Tracker.xlsx]Pivot Table!PivotTable1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Present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'Pivot Table'!$B$3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'Pivot Table'!$A$4:$A$13</c:f>
              <c:strCache>
                <c:ptCount val="9"/>
                <c:pt idx="0">
                  <c:v>Ankit</c:v>
                </c:pt>
                <c:pt idx="1">
                  <c:v>Harsh</c:v>
                </c:pt>
                <c:pt idx="2">
                  <c:v>Jaish</c:v>
                </c:pt>
                <c:pt idx="3">
                  <c:v>John</c:v>
                </c:pt>
                <c:pt idx="4">
                  <c:v>Neha</c:v>
                </c:pt>
                <c:pt idx="5">
                  <c:v>Rahul </c:v>
                </c:pt>
                <c:pt idx="6">
                  <c:v>Sahil</c:v>
                </c:pt>
                <c:pt idx="7">
                  <c:v>Shiwani</c:v>
                </c:pt>
                <c:pt idx="8">
                  <c:v>Tara</c:v>
                </c:pt>
              </c:strCache>
            </c:strRef>
          </c:cat>
          <c:val>
            <c:numRef>
              <c:f>'Pivot Table'!$B$4:$B$13</c:f>
              <c:numCache>
                <c:formatCode>General</c:formatCode>
                <c:ptCount val="9"/>
                <c:pt idx="0">
                  <c:v>89</c:v>
                </c:pt>
                <c:pt idx="1">
                  <c:v>60</c:v>
                </c:pt>
                <c:pt idx="2">
                  <c:v>45</c:v>
                </c:pt>
                <c:pt idx="3">
                  <c:v>29</c:v>
                </c:pt>
                <c:pt idx="4">
                  <c:v>67</c:v>
                </c:pt>
                <c:pt idx="5">
                  <c:v>91</c:v>
                </c:pt>
                <c:pt idx="6">
                  <c:v>87</c:v>
                </c:pt>
                <c:pt idx="7">
                  <c:v>70</c:v>
                </c:pt>
                <c:pt idx="8">
                  <c:v>47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43F-4CD5-82B1-4740B8EF230C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994954248"/>
        <c:axId val="994960392"/>
      </c:lineChart>
      <c:catAx>
        <c:axId val="99495424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94960392"/>
        <c:crosses val="autoZero"/>
        <c:auto val="1"/>
        <c:lblAlgn val="ctr"/>
        <c:lblOffset val="100"/>
        <c:noMultiLvlLbl val="0"/>
      </c:catAx>
      <c:valAx>
        <c:axId val="9949603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949542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[Attendence Tracker.xlsx]Pivot Table!PivotTable2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Absent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circle"/>
          <c:size val="5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'Pivot Table'!$E$3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5CAA-49AC-82B7-89BA331A9559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5CAA-49AC-82B7-89BA331A9559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5CAA-49AC-82B7-89BA331A9559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5CAA-49AC-82B7-89BA331A9559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5CAA-49AC-82B7-89BA331A9559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5CAA-49AC-82B7-89BA331A9559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D-5CAA-49AC-82B7-89BA331A9559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F-5CAA-49AC-82B7-89BA331A9559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1-5CAA-49AC-82B7-89BA331A9559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'Pivot Table'!$D$4:$D$13</c:f>
              <c:strCache>
                <c:ptCount val="9"/>
                <c:pt idx="0">
                  <c:v>Ankit</c:v>
                </c:pt>
                <c:pt idx="1">
                  <c:v>Harsh</c:v>
                </c:pt>
                <c:pt idx="2">
                  <c:v>Jaish</c:v>
                </c:pt>
                <c:pt idx="3">
                  <c:v>John</c:v>
                </c:pt>
                <c:pt idx="4">
                  <c:v>Neha</c:v>
                </c:pt>
                <c:pt idx="5">
                  <c:v>Rahul </c:v>
                </c:pt>
                <c:pt idx="6">
                  <c:v>Sahil</c:v>
                </c:pt>
                <c:pt idx="7">
                  <c:v>Shiwani</c:v>
                </c:pt>
                <c:pt idx="8">
                  <c:v>Tara</c:v>
                </c:pt>
              </c:strCache>
            </c:strRef>
          </c:cat>
          <c:val>
            <c:numRef>
              <c:f>'Pivot Table'!$E$4:$E$13</c:f>
              <c:numCache>
                <c:formatCode>General</c:formatCode>
                <c:ptCount val="9"/>
                <c:pt idx="0">
                  <c:v>7</c:v>
                </c:pt>
                <c:pt idx="1">
                  <c:v>7</c:v>
                </c:pt>
                <c:pt idx="2">
                  <c:v>29</c:v>
                </c:pt>
                <c:pt idx="3">
                  <c:v>35</c:v>
                </c:pt>
                <c:pt idx="4">
                  <c:v>3</c:v>
                </c:pt>
                <c:pt idx="5">
                  <c:v>3</c:v>
                </c:pt>
                <c:pt idx="6">
                  <c:v>12</c:v>
                </c:pt>
                <c:pt idx="7">
                  <c:v>19</c:v>
                </c:pt>
                <c:pt idx="8">
                  <c:v>17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2-5CAA-49AC-82B7-89BA331A9559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[Attendence Tracker.xlsx]Pivot Table!PivotTable3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Attedence%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Table'!$H$3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'Pivot Table'!$G$4:$G$13</c:f>
              <c:strCache>
                <c:ptCount val="9"/>
                <c:pt idx="0">
                  <c:v>Ankit</c:v>
                </c:pt>
                <c:pt idx="1">
                  <c:v>Harsh</c:v>
                </c:pt>
                <c:pt idx="2">
                  <c:v>Jaish</c:v>
                </c:pt>
                <c:pt idx="3">
                  <c:v>John</c:v>
                </c:pt>
                <c:pt idx="4">
                  <c:v>Neha</c:v>
                </c:pt>
                <c:pt idx="5">
                  <c:v>Rahul </c:v>
                </c:pt>
                <c:pt idx="6">
                  <c:v>Sahil</c:v>
                </c:pt>
                <c:pt idx="7">
                  <c:v>Shiwani</c:v>
                </c:pt>
                <c:pt idx="8">
                  <c:v>Tara</c:v>
                </c:pt>
              </c:strCache>
            </c:strRef>
          </c:cat>
          <c:val>
            <c:numRef>
              <c:f>'Pivot Table'!$H$4:$H$13</c:f>
              <c:numCache>
                <c:formatCode>0.00</c:formatCode>
                <c:ptCount val="9"/>
                <c:pt idx="0">
                  <c:v>98.888888888888886</c:v>
                </c:pt>
                <c:pt idx="1">
                  <c:v>66.666666666666657</c:v>
                </c:pt>
                <c:pt idx="2">
                  <c:v>50</c:v>
                </c:pt>
                <c:pt idx="3">
                  <c:v>32.222222222222221</c:v>
                </c:pt>
                <c:pt idx="4">
                  <c:v>74.444444444444443</c:v>
                </c:pt>
                <c:pt idx="5">
                  <c:v>101.11111111111111</c:v>
                </c:pt>
                <c:pt idx="6">
                  <c:v>96.666666666666671</c:v>
                </c:pt>
                <c:pt idx="7">
                  <c:v>77.777777777777786</c:v>
                </c:pt>
                <c:pt idx="8">
                  <c:v>52.222222222222229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AE7-43F6-A7B5-F48272996BB1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50"/>
        <c:axId val="2051848200"/>
        <c:axId val="2051858440"/>
      </c:barChart>
      <c:catAx>
        <c:axId val="20518482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51858440"/>
        <c:crosses val="autoZero"/>
        <c:auto val="1"/>
        <c:lblAlgn val="ctr"/>
        <c:lblOffset val="100"/>
        <c:noMultiLvlLbl val="0"/>
      </c:catAx>
      <c:valAx>
        <c:axId val="20518584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5184820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438150</xdr:colOff>
      <xdr:row>1</xdr:row>
      <xdr:rowOff>171450</xdr:rowOff>
    </xdr:from>
    <xdr:to>
      <xdr:col>8</xdr:col>
      <xdr:colOff>133350</xdr:colOff>
      <xdr:row>16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8758550-FA67-4ACF-9053-271F03ABF04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0</xdr:colOff>
      <xdr:row>2</xdr:row>
      <xdr:rowOff>0</xdr:rowOff>
    </xdr:from>
    <xdr:to>
      <xdr:col>17</xdr:col>
      <xdr:colOff>304800</xdr:colOff>
      <xdr:row>16</xdr:row>
      <xdr:rowOff>76200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76DE6CC2-EF92-4E38-A8B3-9CC3574D650B}"/>
            </a:ext>
            <a:ext uri="{147F2762-F138-4A5C-976F-8EAC2B608ADB}">
              <a16:predDERef xmlns:a16="http://schemas.microsoft.com/office/drawing/2014/main" pred="{98758550-FA67-4ACF-9053-271F03ABF04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20</xdr:col>
      <xdr:colOff>0</xdr:colOff>
      <xdr:row>2</xdr:row>
      <xdr:rowOff>0</xdr:rowOff>
    </xdr:from>
    <xdr:to>
      <xdr:col>27</xdr:col>
      <xdr:colOff>304800</xdr:colOff>
      <xdr:row>16</xdr:row>
      <xdr:rowOff>76200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D505CC0F-3DFC-483D-B482-CA0B3CF82B34}"/>
            </a:ext>
            <a:ext uri="{147F2762-F138-4A5C-976F-8EAC2B608ADB}">
              <a16:predDERef xmlns:a16="http://schemas.microsoft.com/office/drawing/2014/main" pred="{76DE6CC2-EF92-4E38-A8B3-9CC3574D650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180.373890046299" createdVersion="8" refreshedVersion="8" minRefreshableVersion="3" recordCount="9" xr:uid="{07008B0C-BAA1-4556-A57F-1BDDCE99FF40}">
  <cacheSource type="worksheet">
    <worksheetSource ref="A1:E10" sheet="Source Data"/>
  </cacheSource>
  <cacheFields count="5">
    <cacheField name="Student Name" numFmtId="0">
      <sharedItems count="9">
        <s v="Harsh"/>
        <s v="Shiwani"/>
        <s v="Neha"/>
        <s v="Ankit"/>
        <s v="Jaish"/>
        <s v="John"/>
        <s v="Tara"/>
        <s v="Rahul "/>
        <s v="Sahil"/>
      </sharedItems>
    </cacheField>
    <cacheField name="Total Classes" numFmtId="0">
      <sharedItems containsSemiMixedTypes="0" containsString="0" containsNumber="1" containsInteger="1" minValue="90" maxValue="90"/>
    </cacheField>
    <cacheField name="Present" numFmtId="0">
      <sharedItems containsSemiMixedTypes="0" containsString="0" containsNumber="1" containsInteger="1" minValue="29" maxValue="91"/>
    </cacheField>
    <cacheField name="Absent" numFmtId="0">
      <sharedItems containsSemiMixedTypes="0" containsString="0" containsNumber="1" containsInteger="1" minValue="3" maxValue="35"/>
    </cacheField>
    <cacheField name="Attendence %" numFmtId="2">
      <sharedItems containsSemiMixedTypes="0" containsString="0" containsNumber="1" minValue="32.222222222222221" maxValue="101.1111111111111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">
  <r>
    <x v="0"/>
    <n v="90"/>
    <n v="60"/>
    <n v="7"/>
    <n v="66.666666666666657"/>
  </r>
  <r>
    <x v="1"/>
    <n v="90"/>
    <n v="70"/>
    <n v="19"/>
    <n v="77.777777777777786"/>
  </r>
  <r>
    <x v="2"/>
    <n v="90"/>
    <n v="67"/>
    <n v="3"/>
    <n v="74.444444444444443"/>
  </r>
  <r>
    <x v="3"/>
    <n v="90"/>
    <n v="89"/>
    <n v="7"/>
    <n v="98.888888888888886"/>
  </r>
  <r>
    <x v="4"/>
    <n v="90"/>
    <n v="45"/>
    <n v="29"/>
    <n v="50"/>
  </r>
  <r>
    <x v="5"/>
    <n v="90"/>
    <n v="29"/>
    <n v="35"/>
    <n v="32.222222222222221"/>
  </r>
  <r>
    <x v="6"/>
    <n v="90"/>
    <n v="47"/>
    <n v="17"/>
    <n v="52.222222222222229"/>
  </r>
  <r>
    <x v="7"/>
    <n v="90"/>
    <n v="91"/>
    <n v="3"/>
    <n v="101.11111111111111"/>
  </r>
  <r>
    <x v="8"/>
    <n v="90"/>
    <n v="87"/>
    <n v="12"/>
    <n v="96.66666666666667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75E01F1-CD7B-41CA-AC99-491804265884}" name="PivotTable3" cacheId="18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5">
  <location ref="G3:H13" firstHeaderRow="1" firstDataRow="1" firstDataCol="1"/>
  <pivotFields count="5">
    <pivotField axis="axisRow" compact="0" outline="0" showAll="0">
      <items count="10">
        <item x="3"/>
        <item x="0"/>
        <item x="4"/>
        <item x="5"/>
        <item x="2"/>
        <item x="7"/>
        <item x="8"/>
        <item x="1"/>
        <item x="6"/>
        <item t="default"/>
      </items>
    </pivotField>
    <pivotField compact="0" outline="0" showAll="0"/>
    <pivotField compact="0" outline="0" showAll="0"/>
    <pivotField compact="0" outline="0" showAll="0"/>
    <pivotField dataField="1" compact="0" numFmtId="2" outline="0" showAll="0"/>
  </pivotFields>
  <rowFields count="1">
    <field x="0"/>
  </rowFields>
  <rowItems count="1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 t="grand">
      <x/>
    </i>
  </rowItems>
  <colItems count="1">
    <i/>
  </colItems>
  <dataFields count="1">
    <dataField name="Sum of Attendence %" fld="4" baseField="0" baseItem="0" numFmtId="2"/>
  </dataFields>
  <chartFormats count="4">
    <chartFormat chart="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FED49AE-1040-4CAE-AC9E-1E0A8CBDD30A}" name="PivotTable2" cacheId="18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5">
  <location ref="D3:E13" firstHeaderRow="1" firstDataRow="1" firstDataCol="1"/>
  <pivotFields count="5">
    <pivotField axis="axisRow" compact="0" outline="0" showAll="0">
      <items count="10">
        <item x="3"/>
        <item x="0"/>
        <item x="4"/>
        <item x="5"/>
        <item x="2"/>
        <item x="7"/>
        <item x="8"/>
        <item x="1"/>
        <item x="6"/>
        <item t="default"/>
      </items>
    </pivotField>
    <pivotField compact="0" outline="0" showAll="0"/>
    <pivotField compact="0" outline="0" showAll="0"/>
    <pivotField dataField="1" compact="0" outline="0" showAll="0"/>
    <pivotField compact="0" numFmtId="2" outline="0" showAll="0"/>
  </pivotFields>
  <rowFields count="1">
    <field x="0"/>
  </rowFields>
  <rowItems count="1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 t="grand">
      <x/>
    </i>
  </rowItems>
  <colItems count="1">
    <i/>
  </colItems>
  <dataFields count="1">
    <dataField name="Sum of Absent" fld="3" baseField="0" baseItem="0"/>
  </dataFields>
  <chartFormats count="40">
    <chartFormat chart="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2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1" format="3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1" format="4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  <chartFormat chart="1" format="5">
      <pivotArea type="data" outline="0" fieldPosition="0">
        <references count="2">
          <reference field="4294967294" count="1" selected="0">
            <x v="0"/>
          </reference>
          <reference field="0" count="1" selected="0">
            <x v="3"/>
          </reference>
        </references>
      </pivotArea>
    </chartFormat>
    <chartFormat chart="1" format="6">
      <pivotArea type="data" outline="0" fieldPosition="0">
        <references count="2">
          <reference field="4294967294" count="1" selected="0">
            <x v="0"/>
          </reference>
          <reference field="0" count="1" selected="0">
            <x v="4"/>
          </reference>
        </references>
      </pivotArea>
    </chartFormat>
    <chartFormat chart="1" format="7">
      <pivotArea type="data" outline="0" fieldPosition="0">
        <references count="2">
          <reference field="4294967294" count="1" selected="0">
            <x v="0"/>
          </reference>
          <reference field="0" count="1" selected="0">
            <x v="5"/>
          </reference>
        </references>
      </pivotArea>
    </chartFormat>
    <chartFormat chart="1" format="8">
      <pivotArea type="data" outline="0" fieldPosition="0">
        <references count="2">
          <reference field="4294967294" count="1" selected="0">
            <x v="0"/>
          </reference>
          <reference field="0" count="1" selected="0">
            <x v="6"/>
          </reference>
        </references>
      </pivotArea>
    </chartFormat>
    <chartFormat chart="1" format="9">
      <pivotArea type="data" outline="0" fieldPosition="0">
        <references count="2">
          <reference field="4294967294" count="1" selected="0">
            <x v="0"/>
          </reference>
          <reference field="0" count="1" selected="0">
            <x v="7"/>
          </reference>
        </references>
      </pivotArea>
    </chartFormat>
    <chartFormat chart="1" format="10">
      <pivotArea type="data" outline="0" fieldPosition="0">
        <references count="2">
          <reference field="4294967294" count="1" selected="0">
            <x v="0"/>
          </reference>
          <reference field="0" count="1" selected="0">
            <x v="8"/>
          </reference>
        </references>
      </pivotArea>
    </chartFormat>
    <chartFormat chart="2" format="1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12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2" format="13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2" format="14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  <chartFormat chart="2" format="15">
      <pivotArea type="data" outline="0" fieldPosition="0">
        <references count="2">
          <reference field="4294967294" count="1" selected="0">
            <x v="0"/>
          </reference>
          <reference field="0" count="1" selected="0">
            <x v="3"/>
          </reference>
        </references>
      </pivotArea>
    </chartFormat>
    <chartFormat chart="2" format="16">
      <pivotArea type="data" outline="0" fieldPosition="0">
        <references count="2">
          <reference field="4294967294" count="1" selected="0">
            <x v="0"/>
          </reference>
          <reference field="0" count="1" selected="0">
            <x v="4"/>
          </reference>
        </references>
      </pivotArea>
    </chartFormat>
    <chartFormat chart="2" format="17">
      <pivotArea type="data" outline="0" fieldPosition="0">
        <references count="2">
          <reference field="4294967294" count="1" selected="0">
            <x v="0"/>
          </reference>
          <reference field="0" count="1" selected="0">
            <x v="5"/>
          </reference>
        </references>
      </pivotArea>
    </chartFormat>
    <chartFormat chart="2" format="18">
      <pivotArea type="data" outline="0" fieldPosition="0">
        <references count="2">
          <reference field="4294967294" count="1" selected="0">
            <x v="0"/>
          </reference>
          <reference field="0" count="1" selected="0">
            <x v="6"/>
          </reference>
        </references>
      </pivotArea>
    </chartFormat>
    <chartFormat chart="2" format="19">
      <pivotArea type="data" outline="0" fieldPosition="0">
        <references count="2">
          <reference field="4294967294" count="1" selected="0">
            <x v="0"/>
          </reference>
          <reference field="0" count="1" selected="0">
            <x v="7"/>
          </reference>
        </references>
      </pivotArea>
    </chartFormat>
    <chartFormat chart="2" format="20">
      <pivotArea type="data" outline="0" fieldPosition="0">
        <references count="2">
          <reference field="4294967294" count="1" selected="0">
            <x v="0"/>
          </reference>
          <reference field="0" count="1" selected="0">
            <x v="8"/>
          </reference>
        </references>
      </pivotArea>
    </chartFormat>
    <chartFormat chart="3" format="2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22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3" format="23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3" format="24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  <chartFormat chart="3" format="25">
      <pivotArea type="data" outline="0" fieldPosition="0">
        <references count="2">
          <reference field="4294967294" count="1" selected="0">
            <x v="0"/>
          </reference>
          <reference field="0" count="1" selected="0">
            <x v="3"/>
          </reference>
        </references>
      </pivotArea>
    </chartFormat>
    <chartFormat chart="3" format="26">
      <pivotArea type="data" outline="0" fieldPosition="0">
        <references count="2">
          <reference field="4294967294" count="1" selected="0">
            <x v="0"/>
          </reference>
          <reference field="0" count="1" selected="0">
            <x v="4"/>
          </reference>
        </references>
      </pivotArea>
    </chartFormat>
    <chartFormat chart="3" format="27">
      <pivotArea type="data" outline="0" fieldPosition="0">
        <references count="2">
          <reference field="4294967294" count="1" selected="0">
            <x v="0"/>
          </reference>
          <reference field="0" count="1" selected="0">
            <x v="5"/>
          </reference>
        </references>
      </pivotArea>
    </chartFormat>
    <chartFormat chart="3" format="28">
      <pivotArea type="data" outline="0" fieldPosition="0">
        <references count="2">
          <reference field="4294967294" count="1" selected="0">
            <x v="0"/>
          </reference>
          <reference field="0" count="1" selected="0">
            <x v="6"/>
          </reference>
        </references>
      </pivotArea>
    </chartFormat>
    <chartFormat chart="3" format="29">
      <pivotArea type="data" outline="0" fieldPosition="0">
        <references count="2">
          <reference field="4294967294" count="1" selected="0">
            <x v="0"/>
          </reference>
          <reference field="0" count="1" selected="0">
            <x v="7"/>
          </reference>
        </references>
      </pivotArea>
    </chartFormat>
    <chartFormat chart="3" format="30">
      <pivotArea type="data" outline="0" fieldPosition="0">
        <references count="2">
          <reference field="4294967294" count="1" selected="0">
            <x v="0"/>
          </reference>
          <reference field="0" count="1" selected="0">
            <x v="8"/>
          </reference>
        </references>
      </pivotArea>
    </chartFormat>
    <chartFormat chart="4" format="3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32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4" format="33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4" format="34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  <chartFormat chart="4" format="35">
      <pivotArea type="data" outline="0" fieldPosition="0">
        <references count="2">
          <reference field="4294967294" count="1" selected="0">
            <x v="0"/>
          </reference>
          <reference field="0" count="1" selected="0">
            <x v="3"/>
          </reference>
        </references>
      </pivotArea>
    </chartFormat>
    <chartFormat chart="4" format="36">
      <pivotArea type="data" outline="0" fieldPosition="0">
        <references count="2">
          <reference field="4294967294" count="1" selected="0">
            <x v="0"/>
          </reference>
          <reference field="0" count="1" selected="0">
            <x v="4"/>
          </reference>
        </references>
      </pivotArea>
    </chartFormat>
    <chartFormat chart="4" format="37">
      <pivotArea type="data" outline="0" fieldPosition="0">
        <references count="2">
          <reference field="4294967294" count="1" selected="0">
            <x v="0"/>
          </reference>
          <reference field="0" count="1" selected="0">
            <x v="5"/>
          </reference>
        </references>
      </pivotArea>
    </chartFormat>
    <chartFormat chart="4" format="38">
      <pivotArea type="data" outline="0" fieldPosition="0">
        <references count="2">
          <reference field="4294967294" count="1" selected="0">
            <x v="0"/>
          </reference>
          <reference field="0" count="1" selected="0">
            <x v="6"/>
          </reference>
        </references>
      </pivotArea>
    </chartFormat>
    <chartFormat chart="4" format="39">
      <pivotArea type="data" outline="0" fieldPosition="0">
        <references count="2">
          <reference field="4294967294" count="1" selected="0">
            <x v="0"/>
          </reference>
          <reference field="0" count="1" selected="0">
            <x v="7"/>
          </reference>
        </references>
      </pivotArea>
    </chartFormat>
    <chartFormat chart="4" format="40">
      <pivotArea type="data" outline="0" fieldPosition="0">
        <references count="2">
          <reference field="4294967294" count="1" selected="0">
            <x v="0"/>
          </reference>
          <reference field="0" count="1" selected="0">
            <x v="8"/>
          </reference>
        </references>
      </pivotArea>
    </chartFormat>
  </chartFormat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F3356B4-1881-4925-8D70-9A3F4D407257}" name="PivotTable1" cacheId="18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5">
  <location ref="A3:B13" firstHeaderRow="1" firstDataRow="1" firstDataCol="1"/>
  <pivotFields count="5">
    <pivotField axis="axisRow" compact="0" outline="0" showAll="0">
      <items count="10">
        <item x="3"/>
        <item x="0"/>
        <item x="4"/>
        <item x="5"/>
        <item x="2"/>
        <item x="7"/>
        <item x="8"/>
        <item x="1"/>
        <item x="6"/>
        <item t="default"/>
      </items>
    </pivotField>
    <pivotField compact="0" outline="0" showAll="0"/>
    <pivotField dataField="1" compact="0" outline="0" showAll="0"/>
    <pivotField compact="0" outline="0" showAll="0"/>
    <pivotField compact="0" numFmtId="2" outline="0" showAll="0"/>
  </pivotFields>
  <rowFields count="1">
    <field x="0"/>
  </rowFields>
  <rowItems count="1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 t="grand">
      <x/>
    </i>
  </rowItems>
  <colItems count="1">
    <i/>
  </colItems>
  <dataFields count="1">
    <dataField name="Sum of Present" fld="2" baseField="0" baseItem="0"/>
  </dataFields>
  <chartFormats count="5">
    <chartFormat chart="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0"/>
  <sheetViews>
    <sheetView tabSelected="1" workbookViewId="0">
      <selection activeCell="E2" sqref="E2"/>
    </sheetView>
  </sheetViews>
  <sheetFormatPr defaultRowHeight="15"/>
  <cols>
    <col min="1" max="1" width="15.140625" customWidth="1"/>
    <col min="2" max="2" width="13.7109375" bestFit="1" customWidth="1"/>
    <col min="3" max="3" width="10.28515625" bestFit="1" customWidth="1"/>
    <col min="5" max="5" width="14.28515625" customWidth="1"/>
    <col min="6" max="6" width="13.28515625" bestFit="1" customWidth="1"/>
  </cols>
  <sheetData>
    <row r="1" spans="1:6" ht="21.75" customHeight="1">
      <c r="A1" s="3" t="s">
        <v>0</v>
      </c>
      <c r="B1" s="3" t="s">
        <v>1</v>
      </c>
      <c r="C1" s="3" t="s">
        <v>2</v>
      </c>
      <c r="D1" s="4" t="s">
        <v>3</v>
      </c>
      <c r="E1" s="4" t="s">
        <v>4</v>
      </c>
      <c r="F1" s="1"/>
    </row>
    <row r="2" spans="1:6" ht="20.25" customHeight="1">
      <c r="A2" s="5" t="s">
        <v>5</v>
      </c>
      <c r="B2" s="5">
        <v>90</v>
      </c>
      <c r="C2" s="5">
        <v>60</v>
      </c>
      <c r="D2" s="5">
        <v>7</v>
      </c>
      <c r="E2" s="6">
        <f>(C2/B2)*100</f>
        <v>66.666666666666657</v>
      </c>
    </row>
    <row r="3" spans="1:6">
      <c r="A3" s="5" t="s">
        <v>6</v>
      </c>
      <c r="B3" s="5">
        <v>90</v>
      </c>
      <c r="C3" s="5">
        <v>70</v>
      </c>
      <c r="D3" s="5">
        <v>19</v>
      </c>
      <c r="E3" s="6">
        <f t="shared" ref="E3:E10" si="0">(C3/B3)*100</f>
        <v>77.777777777777786</v>
      </c>
    </row>
    <row r="4" spans="1:6">
      <c r="A4" s="5" t="s">
        <v>7</v>
      </c>
      <c r="B4" s="5">
        <v>90</v>
      </c>
      <c r="C4" s="5">
        <v>67</v>
      </c>
      <c r="D4" s="5">
        <v>3</v>
      </c>
      <c r="E4" s="6">
        <f t="shared" si="0"/>
        <v>74.444444444444443</v>
      </c>
    </row>
    <row r="5" spans="1:6">
      <c r="A5" s="5" t="s">
        <v>8</v>
      </c>
      <c r="B5" s="5">
        <v>90</v>
      </c>
      <c r="C5" s="5">
        <v>89</v>
      </c>
      <c r="D5" s="5">
        <v>7</v>
      </c>
      <c r="E5" s="6">
        <f t="shared" si="0"/>
        <v>98.888888888888886</v>
      </c>
    </row>
    <row r="6" spans="1:6">
      <c r="A6" s="5" t="s">
        <v>9</v>
      </c>
      <c r="B6" s="5">
        <v>90</v>
      </c>
      <c r="C6" s="5">
        <v>45</v>
      </c>
      <c r="D6" s="5">
        <v>29</v>
      </c>
      <c r="E6" s="6">
        <f t="shared" si="0"/>
        <v>50</v>
      </c>
    </row>
    <row r="7" spans="1:6">
      <c r="A7" s="5" t="s">
        <v>10</v>
      </c>
      <c r="B7" s="5">
        <v>90</v>
      </c>
      <c r="C7" s="5">
        <v>29</v>
      </c>
      <c r="D7" s="5">
        <v>35</v>
      </c>
      <c r="E7" s="6">
        <f t="shared" si="0"/>
        <v>32.222222222222221</v>
      </c>
    </row>
    <row r="8" spans="1:6">
      <c r="A8" s="5" t="s">
        <v>11</v>
      </c>
      <c r="B8" s="5">
        <v>90</v>
      </c>
      <c r="C8" s="5">
        <v>47</v>
      </c>
      <c r="D8" s="5">
        <v>17</v>
      </c>
      <c r="E8" s="6">
        <f t="shared" si="0"/>
        <v>52.222222222222229</v>
      </c>
    </row>
    <row r="9" spans="1:6">
      <c r="A9" s="5" t="s">
        <v>12</v>
      </c>
      <c r="B9" s="5">
        <v>90</v>
      </c>
      <c r="C9" s="5">
        <v>91</v>
      </c>
      <c r="D9" s="5">
        <v>3</v>
      </c>
      <c r="E9" s="6">
        <f t="shared" si="0"/>
        <v>101.11111111111111</v>
      </c>
    </row>
    <row r="10" spans="1:6">
      <c r="A10" s="5" t="s">
        <v>13</v>
      </c>
      <c r="B10" s="5">
        <v>90</v>
      </c>
      <c r="C10" s="5">
        <v>87</v>
      </c>
      <c r="D10" s="5">
        <v>12</v>
      </c>
      <c r="E10" s="6">
        <f t="shared" si="0"/>
        <v>96.666666666666671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797F4E-3061-4452-9F37-5D2893EC7A24}">
  <dimension ref="A3:H13"/>
  <sheetViews>
    <sheetView topLeftCell="B1" workbookViewId="0">
      <selection activeCell="J8" sqref="J8"/>
    </sheetView>
  </sheetViews>
  <sheetFormatPr defaultRowHeight="15"/>
  <cols>
    <col min="1" max="1" width="16.85546875" bestFit="1" customWidth="1"/>
    <col min="2" max="2" width="14.42578125" bestFit="1" customWidth="1"/>
    <col min="4" max="4" width="16.85546875" customWidth="1"/>
    <col min="5" max="5" width="13.85546875" customWidth="1"/>
    <col min="6" max="6" width="13.85546875" bestFit="1" customWidth="1"/>
    <col min="7" max="7" width="16.85546875" customWidth="1"/>
    <col min="8" max="8" width="20" customWidth="1"/>
  </cols>
  <sheetData>
    <row r="3" spans="1:8">
      <c r="A3" s="7" t="s">
        <v>0</v>
      </c>
      <c r="B3" t="s">
        <v>14</v>
      </c>
      <c r="D3" s="7" t="s">
        <v>0</v>
      </c>
      <c r="E3" t="s">
        <v>15</v>
      </c>
      <c r="G3" s="7" t="s">
        <v>0</v>
      </c>
      <c r="H3" t="s">
        <v>16</v>
      </c>
    </row>
    <row r="4" spans="1:8">
      <c r="A4" t="s">
        <v>8</v>
      </c>
      <c r="B4" s="8">
        <v>89</v>
      </c>
      <c r="D4" t="s">
        <v>8</v>
      </c>
      <c r="E4" s="8">
        <v>7</v>
      </c>
      <c r="G4" t="s">
        <v>8</v>
      </c>
      <c r="H4" s="2">
        <v>98.888888888888886</v>
      </c>
    </row>
    <row r="5" spans="1:8">
      <c r="A5" t="s">
        <v>5</v>
      </c>
      <c r="B5" s="8">
        <v>60</v>
      </c>
      <c r="D5" t="s">
        <v>5</v>
      </c>
      <c r="E5" s="8">
        <v>7</v>
      </c>
      <c r="G5" t="s">
        <v>5</v>
      </c>
      <c r="H5" s="2">
        <v>66.666666666666657</v>
      </c>
    </row>
    <row r="6" spans="1:8">
      <c r="A6" t="s">
        <v>9</v>
      </c>
      <c r="B6" s="8">
        <v>45</v>
      </c>
      <c r="D6" t="s">
        <v>9</v>
      </c>
      <c r="E6" s="8">
        <v>29</v>
      </c>
      <c r="G6" t="s">
        <v>9</v>
      </c>
      <c r="H6" s="2">
        <v>50</v>
      </c>
    </row>
    <row r="7" spans="1:8">
      <c r="A7" t="s">
        <v>10</v>
      </c>
      <c r="B7" s="8">
        <v>29</v>
      </c>
      <c r="D7" t="s">
        <v>10</v>
      </c>
      <c r="E7" s="8">
        <v>35</v>
      </c>
      <c r="G7" t="s">
        <v>10</v>
      </c>
      <c r="H7" s="2">
        <v>32.222222222222221</v>
      </c>
    </row>
    <row r="8" spans="1:8">
      <c r="A8" t="s">
        <v>7</v>
      </c>
      <c r="B8" s="8">
        <v>67</v>
      </c>
      <c r="D8" t="s">
        <v>7</v>
      </c>
      <c r="E8" s="8">
        <v>3</v>
      </c>
      <c r="G8" t="s">
        <v>7</v>
      </c>
      <c r="H8" s="2">
        <v>74.444444444444443</v>
      </c>
    </row>
    <row r="9" spans="1:8">
      <c r="A9" t="s">
        <v>12</v>
      </c>
      <c r="B9" s="8">
        <v>91</v>
      </c>
      <c r="D9" t="s">
        <v>12</v>
      </c>
      <c r="E9" s="8">
        <v>3</v>
      </c>
      <c r="G9" t="s">
        <v>12</v>
      </c>
      <c r="H9" s="2">
        <v>101.11111111111111</v>
      </c>
    </row>
    <row r="10" spans="1:8">
      <c r="A10" t="s">
        <v>13</v>
      </c>
      <c r="B10" s="8">
        <v>87</v>
      </c>
      <c r="D10" t="s">
        <v>13</v>
      </c>
      <c r="E10" s="8">
        <v>12</v>
      </c>
      <c r="G10" t="s">
        <v>13</v>
      </c>
      <c r="H10" s="2">
        <v>96.666666666666671</v>
      </c>
    </row>
    <row r="11" spans="1:8">
      <c r="A11" t="s">
        <v>6</v>
      </c>
      <c r="B11" s="8">
        <v>70</v>
      </c>
      <c r="D11" t="s">
        <v>6</v>
      </c>
      <c r="E11" s="8">
        <v>19</v>
      </c>
      <c r="G11" t="s">
        <v>6</v>
      </c>
      <c r="H11" s="2">
        <v>77.777777777777786</v>
      </c>
    </row>
    <row r="12" spans="1:8">
      <c r="A12" t="s">
        <v>11</v>
      </c>
      <c r="B12" s="8">
        <v>47</v>
      </c>
      <c r="D12" t="s">
        <v>11</v>
      </c>
      <c r="E12" s="8">
        <v>17</v>
      </c>
      <c r="G12" t="s">
        <v>11</v>
      </c>
      <c r="H12" s="2">
        <v>52.222222222222229</v>
      </c>
    </row>
    <row r="13" spans="1:8">
      <c r="A13" t="s">
        <v>17</v>
      </c>
      <c r="B13" s="8">
        <v>585</v>
      </c>
      <c r="D13" t="s">
        <v>17</v>
      </c>
      <c r="E13" s="8">
        <v>132</v>
      </c>
      <c r="G13" t="s">
        <v>17</v>
      </c>
      <c r="H13" s="2">
        <v>650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29472A-566C-46FE-A71F-D7E4C9A70DFC}">
  <dimension ref="A1"/>
  <sheetViews>
    <sheetView workbookViewId="0">
      <selection activeCell="I6" sqref="I6"/>
    </sheetView>
  </sheetViews>
  <sheetFormatPr defaultRowHeight="15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2026-06-07T02:46:49Z</dcterms:created>
  <dcterms:modified xsi:type="dcterms:W3CDTF">2026-06-07T03:42:26Z</dcterms:modified>
  <cp:category/>
  <cp:contentStatus/>
</cp:coreProperties>
</file>