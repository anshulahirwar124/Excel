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xr:revisionPtr revIDLastSave="0" documentId="8_{5CB03824-23CA-41F5-BFA6-9BE4B35EBB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ource Data" sheetId="1" r:id="rId1"/>
    <sheet name="Pivot Table" sheetId="2" r:id="rId2"/>
    <sheet name="Dashboard" sheetId="3" r:id="rId3"/>
  </sheets>
  <definedNames>
    <definedName name="Department">'Pivot Table'!$B$8:$B$8</definedName>
  </definedNames>
  <calcPr calcId="191028"/>
  <pivotCaches>
    <pivotCache cacheId="3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<sst xmlns="http://schemas.openxmlformats.org/spreadsheetml/2006/main" count="50" uniqueCount="29">
  <si>
    <t xml:space="preserve"> Employee Name </t>
  </si>
  <si>
    <t>Department</t>
  </si>
  <si>
    <t>Salary</t>
  </si>
  <si>
    <t>Experience</t>
  </si>
  <si>
    <t>Total Employees</t>
  </si>
  <si>
    <t>Average Salary</t>
  </si>
  <si>
    <t>Highest Salary</t>
  </si>
  <si>
    <t>Lowest Salary</t>
  </si>
  <si>
    <t>jack</t>
  </si>
  <si>
    <t>HR</t>
  </si>
  <si>
    <t>smith</t>
  </si>
  <si>
    <t>IT</t>
  </si>
  <si>
    <t>tanu</t>
  </si>
  <si>
    <t>Finance</t>
  </si>
  <si>
    <t>amit</t>
  </si>
  <si>
    <t>Marketing</t>
  </si>
  <si>
    <t>anuj</t>
  </si>
  <si>
    <t xml:space="preserve">Sales </t>
  </si>
  <si>
    <t>arun</t>
  </si>
  <si>
    <t>Data Anaytics</t>
  </si>
  <si>
    <t>yash</t>
  </si>
  <si>
    <t>Operations</t>
  </si>
  <si>
    <t>shubh</t>
  </si>
  <si>
    <t>Customer Support</t>
  </si>
  <si>
    <t>asn</t>
  </si>
  <si>
    <t>Software Developer</t>
  </si>
  <si>
    <t>Sum of Salary</t>
  </si>
  <si>
    <t>Sum of Experience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</si>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</sst>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3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3" fillId="0" borderId="0" xfId="0" applyFont="1"/>
    <xf numFmtId="0" fontId="3" fillId="0" borderId="0" xfId="0" applyNumberFormat="1" applyFont="1"/>
    <xf numFmtId="0" fontId="4" fillId="7" borderId="0" xfId="0" applyFont="1" applyFill="1"/>
    <xf numFmtId="0" fontId="3" fillId="8" borderId="0" xfId="0" applyFont="1" applyFill="1"/>
    <xf numFmtId="0" fontId="5" fillId="2" borderId="0" xfId="0" applyFont="1" applyFill="1" applyAlignment="1">
      <alignment horizontal="center"/>
    </xf>
    <xf numFmtId="2" fontId="0" fillId="9" borderId="0" xfId="0" applyNumberFormat="1" applyFill="1"/>
    <xf numFmtId="0" fontId="0" fillId="10" borderId="0" xfId="0" applyFill="1"/>
  </cellXfs>
  <cellStyles count="1">
    <cellStyle name="Normal" xfId="0" builtinId="0"/>
  </cellStyles>
  <dxfs count="1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[Employee.excel.xlsx]Pivot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Table'!$D$4:$D$13</c:f>
              <c:strCache>
                <c:ptCount val="9"/>
                <c:pt idx="0">
                  <c:v>amit</c:v>
                </c:pt>
                <c:pt idx="1">
                  <c:v>anuj</c:v>
                </c:pt>
                <c:pt idx="2">
                  <c:v>arun</c:v>
                </c:pt>
                <c:pt idx="3">
                  <c:v>asn</c:v>
                </c:pt>
                <c:pt idx="4">
                  <c:v>jack</c:v>
                </c:pt>
                <c:pt idx="5">
                  <c:v>shubh</c:v>
                </c:pt>
                <c:pt idx="6">
                  <c:v>smith</c:v>
                </c:pt>
                <c:pt idx="7">
                  <c:v>tanu</c:v>
                </c:pt>
                <c:pt idx="8">
                  <c:v>yash</c:v>
                </c:pt>
              </c:strCache>
            </c:strRef>
          </c:cat>
          <c:val>
            <c:numRef>
              <c:f>'Pivot Table'!$E$4:$E$13</c:f>
              <c:numCache>
                <c:formatCode>General</c:formatCode>
                <c:ptCount val="9"/>
                <c:pt idx="0">
                  <c:v>53000</c:v>
                </c:pt>
                <c:pt idx="1">
                  <c:v>23000</c:v>
                </c:pt>
                <c:pt idx="2">
                  <c:v>43000</c:v>
                </c:pt>
                <c:pt idx="3">
                  <c:v>50000</c:v>
                </c:pt>
                <c:pt idx="4">
                  <c:v>67000</c:v>
                </c:pt>
                <c:pt idx="5">
                  <c:v>20000</c:v>
                </c:pt>
                <c:pt idx="6">
                  <c:v>36000</c:v>
                </c:pt>
                <c:pt idx="7">
                  <c:v>22674</c:v>
                </c:pt>
                <c:pt idx="8">
                  <c:v>78000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2-434C-A897-55A9BD5F99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2555655"/>
        <c:axId val="1022557703"/>
      </c:lineChart>
      <c:catAx>
        <c:axId val="102255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57703"/>
        <c:crosses val="autoZero"/>
        <c:auto val="1"/>
        <c:lblAlgn val="ctr"/>
        <c:lblOffset val="100"/>
        <c:noMultiLvlLbl val="0"/>
      </c:catAx>
      <c:valAx>
        <c:axId val="102255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42-4CED-95C2-5A9972A3DA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42-4CED-95C2-5A9972A3DA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42-4CED-95C2-5A9972A3DA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42-4CED-95C2-5A9972A3DA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42-4CED-95C2-5A9972A3DA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42-4CED-95C2-5A9972A3DA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42-4CED-95C2-5A9972A3DA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42-4CED-95C2-5A9972A3DA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C42-4CED-95C2-5A9972A3DA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amit</c:v>
              </c:pt>
              <c:pt idx="1">
                <c:v>anuj</c:v>
              </c:pt>
              <c:pt idx="2">
                <c:v>arun</c:v>
              </c:pt>
              <c:pt idx="3">
                <c:v>asn</c:v>
              </c:pt>
              <c:pt idx="4">
                <c:v>jack</c:v>
              </c:pt>
              <c:pt idx="5">
                <c:v>shubh</c:v>
              </c:pt>
              <c:pt idx="6">
                <c:v>smith</c:v>
              </c:pt>
              <c:pt idx="7">
                <c:v>tanu</c:v>
              </c:pt>
              <c:pt idx="8">
                <c:v>yash</c:v>
              </c:pt>
            </c:strLit>
          </c:cat>
          <c:val>
            <c:numLit>
              <c:formatCode>General</c:formatCode>
              <c:ptCount val="9"/>
              <c:pt idx="0">
                <c:v>2</c:v>
              </c:pt>
              <c:pt idx="1">
                <c:v>3</c:v>
              </c:pt>
              <c:pt idx="2">
                <c:v>2</c:v>
              </c:pt>
              <c:pt idx="3">
                <c:v>1</c:v>
              </c:pt>
              <c:pt idx="4">
                <c:v>2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2-FC42-4CED-95C2-5A9972A3D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DD240F-0091-4358-B58B-93CC93DDC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1BE0969D-2699-4B70-ADB5-E77C06B75AA9}"/>
            </a:ext>
            <a:ext uri="{147F2762-F138-4A5C-976F-8EAC2B608ADB}">
              <a16:predDERef xmlns:a16="http://schemas.microsoft.com/office/drawing/2014/main" pred="{6BDD240F-0091-4358-B58B-93CC93DDC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8.517460300929" createdVersion="8" refreshedVersion="8" minRefreshableVersion="3" recordCount="9" xr:uid="{BAA03105-1724-4E0A-BD4E-A5DC48F63796}">
  <cacheSource type="worksheet">
    <worksheetSource ref="A1:D10" sheet="Source Data"/>
  </cacheSource>
  <cacheFields count="4">
    <cacheField name=" Employee Name " numFmtId="0">
      <sharedItems count="9">
        <s v="jack"/>
        <s v="smith"/>
        <s v="tanu"/>
        <s v="amit"/>
        <s v="anuj"/>
        <s v="arun"/>
        <s v="yash"/>
        <s v="shubh"/>
        <s v="asn"/>
      </sharedItems>
    </cacheField>
    <cacheField name="Department" numFmtId="0">
      <sharedItems count="9">
        <s v="HR"/>
        <s v="IT"/>
        <s v="Finance"/>
        <s v="Marketing"/>
        <s v="Sales "/>
        <s v="Data Anaytics"/>
        <s v="Operations"/>
        <s v="Customer Support"/>
        <s v="Software Developer"/>
      </sharedItems>
    </cacheField>
    <cacheField name="Salary" numFmtId="0">
      <sharedItems containsSemiMixedTypes="0" containsString="0" containsNumber="1" containsInteger="1" minValue="20000" maxValue="78000"/>
    </cacheField>
    <cacheField name="Experience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67000"/>
    <n v="2"/>
  </r>
  <r>
    <x v="1"/>
    <x v="1"/>
    <n v="36000"/>
    <n v="6"/>
  </r>
  <r>
    <x v="2"/>
    <x v="2"/>
    <n v="22674"/>
    <n v="7"/>
  </r>
  <r>
    <x v="3"/>
    <x v="3"/>
    <n v="53000"/>
    <n v="2"/>
  </r>
  <r>
    <x v="4"/>
    <x v="4"/>
    <n v="23000"/>
    <n v="3"/>
  </r>
  <r>
    <x v="5"/>
    <x v="5"/>
    <n v="43000"/>
    <n v="2"/>
  </r>
  <r>
    <x v="6"/>
    <x v="6"/>
    <n v="78000"/>
    <n v="4"/>
  </r>
  <r>
    <x v="7"/>
    <x v="7"/>
    <n v="20000"/>
    <n v="5"/>
  </r>
  <r>
    <x v="8"/>
    <x v="8"/>
    <n v="500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4DC62-5828-4B26-899E-E41ECEF68AB9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J13" firstHeaderRow="1" firstDataRow="1" firstDataCol="1"/>
  <pivotFields count="4">
    <pivotField axis="axisRow" compact="0" outline="0" showAll="0">
      <items count="10">
        <item x="3"/>
        <item x="4"/>
        <item x="5"/>
        <item x="8"/>
        <item x="0"/>
        <item x="7"/>
        <item x="1"/>
        <item x="2"/>
        <item x="6"/>
        <item t="default"/>
      </items>
    </pivotField>
    <pivotField compact="0" outline="0" showAll="0">
      <items count="10">
        <item x="7"/>
        <item x="5"/>
        <item x="2"/>
        <item x="0"/>
        <item x="1"/>
        <item x="3"/>
        <item x="6"/>
        <item x="4"/>
        <item x="8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Experience" fld="3" baseField="0" baseItem="0"/>
  </dataFields>
  <formats count="8">
    <format dxfId="8">
      <pivotArea type="all" dataOnly="0" outline="0" fieldPosition="0"/>
    </format>
    <format dxfId="9">
      <pivotArea outline="0" collapsedLevelsAreSubtotals="1" fieldPosition="0"/>
    </format>
    <format dxfId="10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  <format dxfId="14">
      <pivotArea field="0" type="button" dataOnly="0" labelOnly="1" outline="0" axis="axisRow" fieldPosition="0"/>
    </format>
    <format dxfId="15">
      <pivotArea dataOnly="0" labelOnly="1" outline="0" axis="axisValues" fieldPosition="0"/>
    </format>
  </formats>
  <chartFormats count="4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13A3D-E26A-44DA-BB22-ADB80628C250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13" firstHeaderRow="1" firstDataRow="1" firstDataCol="1"/>
  <pivotFields count="4">
    <pivotField axis="axisRow" compact="0" outline="0" showAll="0">
      <items count="10">
        <item x="3"/>
        <item x="4"/>
        <item x="5"/>
        <item x="8"/>
        <item x="0"/>
        <item x="7"/>
        <item x="1"/>
        <item x="2"/>
        <item x="6"/>
        <item t="default"/>
      </items>
    </pivotField>
    <pivotField compact="0" outline="0" showAll="0">
      <items count="10">
        <item x="7"/>
        <item x="5"/>
        <item x="2"/>
        <item x="0"/>
        <item x="1"/>
        <item x="3"/>
        <item x="6"/>
        <item x="4"/>
        <item x="8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ary" fld="2" baseField="0" baseItem="0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4">
      <pivotArea field="0" type="button" dataOnly="0" labelOnly="1" outline="0" axis="axisRow" fieldPosition="0"/>
    </format>
    <format dxfId="5">
      <pivotArea dataOnly="0" labelOnly="1" outline="0" axis="axisValues" fieldPosition="0"/>
    </format>
    <format dxfId="6">
      <pivotArea field="0" type="button" dataOnly="0" labelOnly="1" outline="0" axis="axisRow" fieldPosition="0"/>
    </format>
    <format dxfId="7">
      <pivotArea dataOnly="0" labelOnly="1" outline="0" axis="axisValues" fieldPosition="0"/>
    </format>
  </format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8" sqref="E8"/>
    </sheetView>
  </sheetViews>
  <sheetFormatPr defaultRowHeight="15"/>
  <cols>
    <col min="1" max="1" width="18.42578125" customWidth="1"/>
    <col min="2" max="2" width="21.28515625" customWidth="1"/>
    <col min="4" max="4" width="10.5703125" bestFit="1" customWidth="1"/>
    <col min="5" max="5" width="16.5703125" customWidth="1"/>
    <col min="6" max="6" width="16.140625" customWidth="1"/>
    <col min="7" max="7" width="15" customWidth="1"/>
    <col min="8" max="8" width="13.140625" bestFit="1" customWidth="1"/>
  </cols>
  <sheetData>
    <row r="1" spans="1:8" ht="23.25" customHeight="1">
      <c r="A1" s="1" t="s">
        <v>0</v>
      </c>
      <c r="B1" s="2" t="s">
        <v>1</v>
      </c>
      <c r="C1" s="2" t="s">
        <v>2</v>
      </c>
      <c r="D1" s="1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8">
      <c r="A2" s="3" t="s">
        <v>8</v>
      </c>
      <c r="B2" s="4" t="s">
        <v>9</v>
      </c>
      <c r="C2" s="8">
        <v>67000</v>
      </c>
      <c r="D2" s="10">
        <v>2</v>
      </c>
      <c r="E2" s="3">
        <v>9</v>
      </c>
      <c r="F2" s="17">
        <f>AVERAGE(C2:C10)</f>
        <v>43630.444444444445</v>
      </c>
      <c r="G2" s="9">
        <f>MAX(C2:C10)</f>
        <v>78000</v>
      </c>
      <c r="H2" s="18">
        <f>MIN(C2:C10)</f>
        <v>20000</v>
      </c>
    </row>
    <row r="3" spans="1:8">
      <c r="A3" s="3" t="s">
        <v>10</v>
      </c>
      <c r="B3" s="4" t="s">
        <v>11</v>
      </c>
      <c r="C3" s="8">
        <v>36000</v>
      </c>
      <c r="D3" s="10">
        <v>6</v>
      </c>
    </row>
    <row r="4" spans="1:8">
      <c r="A4" s="3" t="s">
        <v>12</v>
      </c>
      <c r="B4" s="4" t="s">
        <v>13</v>
      </c>
      <c r="C4" s="8">
        <v>22674</v>
      </c>
      <c r="D4" s="10">
        <v>7</v>
      </c>
    </row>
    <row r="5" spans="1:8">
      <c r="A5" s="3" t="s">
        <v>14</v>
      </c>
      <c r="B5" s="4" t="s">
        <v>15</v>
      </c>
      <c r="C5" s="8">
        <v>53000</v>
      </c>
      <c r="D5" s="10">
        <v>2</v>
      </c>
    </row>
    <row r="6" spans="1:8">
      <c r="A6" s="3" t="s">
        <v>16</v>
      </c>
      <c r="B6" s="4" t="s">
        <v>17</v>
      </c>
      <c r="C6" s="8">
        <v>23000</v>
      </c>
      <c r="D6" s="10">
        <v>3</v>
      </c>
    </row>
    <row r="7" spans="1:8">
      <c r="A7" s="3" t="s">
        <v>18</v>
      </c>
      <c r="B7" s="4" t="s">
        <v>19</v>
      </c>
      <c r="C7" s="8">
        <v>43000</v>
      </c>
      <c r="D7" s="10">
        <v>2</v>
      </c>
    </row>
    <row r="8" spans="1:8">
      <c r="A8" s="3" t="s">
        <v>20</v>
      </c>
      <c r="B8" s="4" t="s">
        <v>21</v>
      </c>
      <c r="C8" s="8">
        <v>78000</v>
      </c>
      <c r="D8" s="10">
        <v>4</v>
      </c>
    </row>
    <row r="9" spans="1:8" ht="17.25" customHeight="1">
      <c r="A9" s="3" t="s">
        <v>22</v>
      </c>
      <c r="B9" s="5" t="s">
        <v>23</v>
      </c>
      <c r="C9" s="8">
        <v>20000</v>
      </c>
      <c r="D9" s="10">
        <v>5</v>
      </c>
    </row>
    <row r="10" spans="1:8" ht="17.25" customHeight="1">
      <c r="A10" s="3" t="s">
        <v>24</v>
      </c>
      <c r="B10" s="5" t="s">
        <v>25</v>
      </c>
      <c r="C10" s="8">
        <v>50000</v>
      </c>
      <c r="D10" s="10">
        <v>1</v>
      </c>
    </row>
    <row r="11" spans="1:8">
      <c r="A11" s="7"/>
      <c r="B11" s="6"/>
      <c r="C11" s="9"/>
      <c r="D1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F409-724A-416C-AD8E-FFCB2319BD1D}">
  <dimension ref="D3:J13"/>
  <sheetViews>
    <sheetView topLeftCell="C1" workbookViewId="0">
      <selection activeCell="I3" sqref="I3:J3"/>
    </sheetView>
  </sheetViews>
  <sheetFormatPr defaultRowHeight="15"/>
  <cols>
    <col min="1" max="1" width="19.5703125" bestFit="1" customWidth="1"/>
    <col min="2" max="2" width="18.140625" bestFit="1" customWidth="1"/>
    <col min="4" max="4" width="19.5703125" customWidth="1"/>
    <col min="5" max="5" width="13" customWidth="1"/>
    <col min="7" max="7" width="19.5703125" customWidth="1"/>
    <col min="8" max="8" width="17.28515625" customWidth="1"/>
    <col min="9" max="9" width="19.42578125" customWidth="1"/>
    <col min="10" max="10" width="20.140625" customWidth="1"/>
  </cols>
  <sheetData>
    <row r="3" spans="4:10">
      <c r="D3" s="14" t="s">
        <v>0</v>
      </c>
      <c r="E3" s="14" t="s">
        <v>26</v>
      </c>
      <c r="I3" s="15" t="s">
        <v>0</v>
      </c>
      <c r="J3" s="15" t="s">
        <v>27</v>
      </c>
    </row>
    <row r="4" spans="4:10">
      <c r="D4" s="12" t="s">
        <v>14</v>
      </c>
      <c r="E4" s="13">
        <v>53000</v>
      </c>
      <c r="I4" s="12" t="s">
        <v>14</v>
      </c>
      <c r="J4" s="12">
        <v>2</v>
      </c>
    </row>
    <row r="5" spans="4:10">
      <c r="D5" s="12" t="s">
        <v>16</v>
      </c>
      <c r="E5" s="13">
        <v>23000</v>
      </c>
      <c r="I5" s="12" t="s">
        <v>16</v>
      </c>
      <c r="J5" s="12">
        <v>3</v>
      </c>
    </row>
    <row r="6" spans="4:10">
      <c r="D6" s="12" t="s">
        <v>18</v>
      </c>
      <c r="E6" s="13">
        <v>43000</v>
      </c>
      <c r="I6" s="12" t="s">
        <v>18</v>
      </c>
      <c r="J6" s="12">
        <v>2</v>
      </c>
    </row>
    <row r="7" spans="4:10">
      <c r="D7" s="12" t="s">
        <v>24</v>
      </c>
      <c r="E7" s="13">
        <v>50000</v>
      </c>
      <c r="I7" s="12" t="s">
        <v>24</v>
      </c>
      <c r="J7" s="12">
        <v>1</v>
      </c>
    </row>
    <row r="8" spans="4:10">
      <c r="D8" s="12" t="s">
        <v>8</v>
      </c>
      <c r="E8" s="13">
        <v>67000</v>
      </c>
      <c r="I8" s="12" t="s">
        <v>8</v>
      </c>
      <c r="J8" s="12">
        <v>2</v>
      </c>
    </row>
    <row r="9" spans="4:10">
      <c r="D9" s="12" t="s">
        <v>22</v>
      </c>
      <c r="E9" s="13">
        <v>20000</v>
      </c>
      <c r="I9" s="12" t="s">
        <v>22</v>
      </c>
      <c r="J9" s="12">
        <v>5</v>
      </c>
    </row>
    <row r="10" spans="4:10">
      <c r="D10" s="12" t="s">
        <v>10</v>
      </c>
      <c r="E10" s="13">
        <v>36000</v>
      </c>
      <c r="I10" s="12" t="s">
        <v>10</v>
      </c>
      <c r="J10" s="12">
        <v>6</v>
      </c>
    </row>
    <row r="11" spans="4:10">
      <c r="D11" s="12" t="s">
        <v>12</v>
      </c>
      <c r="E11" s="13">
        <v>22674</v>
      </c>
      <c r="I11" s="12" t="s">
        <v>12</v>
      </c>
      <c r="J11" s="12">
        <v>7</v>
      </c>
    </row>
    <row r="12" spans="4:10">
      <c r="D12" s="12" t="s">
        <v>20</v>
      </c>
      <c r="E12" s="13">
        <v>78000</v>
      </c>
      <c r="I12" s="12" t="s">
        <v>20</v>
      </c>
      <c r="J12" s="12">
        <v>4</v>
      </c>
    </row>
    <row r="13" spans="4:10">
      <c r="D13" s="12" t="s">
        <v>28</v>
      </c>
      <c r="E13" s="13">
        <v>392674</v>
      </c>
      <c r="I13" s="12" t="s">
        <v>28</v>
      </c>
      <c r="J13" s="12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1369-ED8A-48CF-802F-38AFEB79FECE}">
  <dimension ref="A1"/>
  <sheetViews>
    <sheetView topLeftCell="A2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2026-06-05T06:38:42Z</dcterms:created>
  <dcterms:modified xsi:type="dcterms:W3CDTF">2026-06-07T10:07:08Z</dcterms:modified>
  <cp:category/>
  <cp:contentStatus/>
</cp:coreProperties>
</file>